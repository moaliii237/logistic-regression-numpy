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sus\Desktop\"/>
    </mc:Choice>
  </mc:AlternateContent>
  <xr:revisionPtr revIDLastSave="0" documentId="8_{E9DFFDCF-C203-4B97-88E1-64A1BC90C295}" xr6:coauthVersionLast="47" xr6:coauthVersionMax="47" xr10:uidLastSave="{00000000-0000-0000-0000-000000000000}"/>
  <bookViews>
    <workbookView xWindow="-108" yWindow="-108" windowWidth="23256" windowHeight="12456" xr2:uid="{00000000-000D-0000-FFFF-FFFF00000000}"/>
  </bookViews>
  <sheets>
    <sheet name="Student Self-Assessment" sheetId="1" r:id="rId1"/>
    <sheet name="ASSESSMENT RUBRIC" sheetId="2" state="hidden" r:id="rId2"/>
    <sheet name="Overview"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8" i="2" l="1"/>
  <c r="R18" i="2"/>
  <c r="Q18" i="2"/>
  <c r="P18" i="2"/>
  <c r="O18" i="2"/>
  <c r="N18" i="2"/>
  <c r="S14" i="2"/>
  <c r="R14" i="2"/>
  <c r="Q14" i="2"/>
  <c r="P14" i="2"/>
  <c r="O14" i="2"/>
  <c r="N14" i="2"/>
  <c r="S7" i="2"/>
  <c r="R7" i="2"/>
  <c r="Q7" i="2"/>
  <c r="P7" i="2"/>
  <c r="O7" i="2"/>
  <c r="N7" i="2"/>
  <c r="S5" i="2"/>
  <c r="R5" i="2"/>
  <c r="Q5" i="2"/>
  <c r="P5" i="2"/>
  <c r="O5" i="2"/>
  <c r="N5" i="2"/>
  <c r="N46" i="1"/>
  <c r="L43" i="1"/>
  <c r="L38" i="1"/>
  <c r="L33" i="1"/>
  <c r="L28" i="1"/>
  <c r="L23" i="1"/>
  <c r="L19" i="1"/>
  <c r="P16" i="1"/>
  <c r="L15" i="1"/>
  <c r="L46" i="1" s="1"/>
  <c r="L3" i="1"/>
  <c r="N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M25" authorId="0" shapeId="0" xr:uid="{00000000-0006-0000-0100-000001000000}">
      <text>
        <r>
          <rPr>
            <sz val="10"/>
            <color rgb="FF000000"/>
            <rFont val="Arial"/>
            <scheme val="minor"/>
          </rPr>
          <t>======
ID#AAAAZPao7K8
    (2022-05-11 13:15:54)
@groot.p@ade-buas.nl will you have time to update these criteria.. I can add the OOP ones
_Assigned to Phil de Groot_
	-Abhishek Biswas</t>
        </r>
      </text>
    </comment>
  </commentList>
</comments>
</file>

<file path=xl/sharedStrings.xml><?xml version="1.0" encoding="utf-8"?>
<sst xmlns="http://schemas.openxmlformats.org/spreadsheetml/2006/main" count="381" uniqueCount="256">
  <si>
    <t>Details</t>
  </si>
  <si>
    <t xml:space="preserve">Comments </t>
  </si>
  <si>
    <t>Self Assessed Grade</t>
  </si>
  <si>
    <t>Result</t>
  </si>
  <si>
    <t>Student Number</t>
  </si>
  <si>
    <t>244437</t>
  </si>
  <si>
    <t>Mohammadali, your performance was sufficient to pass, but there’s room for growth. Your learning log lacked depth, and your Power BI submission had minimal visuals and inconsistent navigation. Focus on improving data presentation, critical reflections, and attention to detail.</t>
  </si>
  <si>
    <t>Student Name</t>
  </si>
  <si>
    <t>Jaberi Mohammadali</t>
  </si>
  <si>
    <t>Project</t>
  </si>
  <si>
    <t>2024-25A FGA1.P1-ADSAI</t>
  </si>
  <si>
    <t>Opportunity</t>
  </si>
  <si>
    <t>First Opportunity</t>
  </si>
  <si>
    <t>Project Deadline</t>
  </si>
  <si>
    <t>01-Nov-2024</t>
  </si>
  <si>
    <t>Grading Rubric</t>
  </si>
  <si>
    <t>Indicated Learning Outcomes &amp; Assessment Indicators</t>
  </si>
  <si>
    <t>Pre - requisites</t>
  </si>
  <si>
    <t>ILO Components</t>
  </si>
  <si>
    <t>Score</t>
  </si>
  <si>
    <t xml:space="preserve">Out of </t>
  </si>
  <si>
    <t>Total</t>
  </si>
  <si>
    <t>ILO 0</t>
  </si>
  <si>
    <t>Foundational Skills
The student masters the foundational skills and knowledge that form the basis of Data Science and Artificial Intelligence.  </t>
  </si>
  <si>
    <t>Pre - requisite (s)</t>
  </si>
  <si>
    <t>A (Points: 20)</t>
  </si>
  <si>
    <t>0.1 Python. The student is able to write Python programs, to solve a wide range of introductory programming challenges and perform basic data analysis, using fundamental programming concepts.</t>
  </si>
  <si>
    <t>Student submits  a complete learning log, work log and self-assessment rubric. The student exhibits professional behaviour during the datalab.  The student was present at the Python exam or the planned retake and obtained the evidenced grade.</t>
  </si>
  <si>
    <t>The student demonstrates a solid understanding of Python fundamentals, including variables, conditionals, functions, loops, and data structures such as strings, lists, dictionaries, and tuples. The student is proficient in writing functions that use a wide range of conditional executions and can effectively utilize strings and lists to solve diverse problems. Additionally, the student can convert simple algorithms provided in English into Python, create and execute algorithms to solve various problems and combine loops with strings and lists in their solutions, showcasing strong algorithmic thinking.</t>
  </si>
  <si>
    <t>/</t>
  </si>
  <si>
    <t>Points</t>
  </si>
  <si>
    <t>Yes</t>
  </si>
  <si>
    <t xml:space="preserve">0.2 Mathematics. The student is able to perform elementary operations on matrices and understand the concepts of derivatives, gradients, optimization algorithms, and can implement a simple machine learning model from scratch. </t>
  </si>
  <si>
    <t>Student submits  a complete learning log, work log and self-assessment rubric. The student exhibits professional behaviour during the datalab. The student was present at the Math exam or the planned retake and obtained the evidenced grade.</t>
  </si>
  <si>
    <t>The student is able to perform calculations using basic arithmetic operators, work with variables, solve linear equations and inequalities both analytically and graphically, and analyze power, exponential, logarithmic, and trigonometric functions, as well as their inverses. The student can interpret derivative functions, determine the derivative of common mathematical functions, find the minimum and maximum on a graph, and describe changes using differences, slopes, and rates of change. The student is able to use trigonometric ratios and the unit circle, and understands how to use sine, cosine, and tangent to solve real-world problems. Additionally, the student can summarize data in various ways, find common measures of center like mean and median, and measure spread or variability using standard deviation and interquartile range.</t>
  </si>
  <si>
    <t>ILO 1</t>
  </si>
  <si>
    <t xml:space="preserve">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</si>
  <si>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A (Points: 4)</t>
  </si>
  <si>
    <t>B (Points: 2)</t>
  </si>
  <si>
    <t>C (Points: 2)</t>
  </si>
  <si>
    <t>D (Points: 2)</t>
  </si>
  <si>
    <t>1.1 The student adheres to professional standards, and submits work, adhering to defined guidelines and processes in the Creative Brief.</t>
  </si>
  <si>
    <t xml:space="preserve">Student submits  a complete learning log, work log and self-assessment rubric. The student exhibits professional behaviour during the datalab.  </t>
  </si>
  <si>
    <t>The completed tasks are outlined in the learning log, with detailed comments provided where necessary.</t>
  </si>
  <si>
    <t>The student fills out the learning log for each of the weeks.</t>
  </si>
  <si>
    <t xml:space="preserve">All references to important resources used are included in the learning log for the listed tasks. </t>
  </si>
  <si>
    <t xml:space="preserve">The student's writing style in learning log is professional and free of spelling and grammar mistakes. The student comprehends what was completed and why individual and project feedback was given.  </t>
  </si>
  <si>
    <t>Comments</t>
  </si>
  <si>
    <t>0</t>
  </si>
  <si>
    <t>Tasks were outlined consistently but often lacked detail.</t>
  </si>
  <si>
    <t>Learning log is filled in each week.</t>
  </si>
  <si>
    <t>Evidence links are provided each week.</t>
  </si>
  <si>
    <t>Descriptions need more detail and there are many spelling and grammar errors.</t>
  </si>
  <si>
    <t>ILO 2</t>
  </si>
  <si>
    <t xml:space="preserve">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 </t>
  </si>
  <si>
    <t>A (Points: 2)</t>
  </si>
  <si>
    <t>E (Points: 2)</t>
  </si>
  <si>
    <t xml:space="preserve">2.1 The student reports on learning progress and updates plans in a well-written, concise format with appropriate visual communication, guided by active engagement with feedback. </t>
  </si>
  <si>
    <t xml:space="preserve">Student submits  a complete learning log, work log and self-assessment rubric. The student exhibits professional behaviour during the datalab. </t>
  </si>
  <si>
    <t>Weekly reflections have been completed in Section B of the learning log.</t>
  </si>
  <si>
    <t xml:space="preserve">The reflection for the project and block (Section D of the learning log) has been completed. </t>
  </si>
  <si>
    <t xml:space="preserve">The reflections have been written professionally and make sense given the context. </t>
  </si>
  <si>
    <t xml:space="preserve">The reflections are critical wherever necessary and identify key lessons. </t>
  </si>
  <si>
    <t>There are clear steps identified from the key lessons that make sense. There are steps applicable to future projects and your professional development.</t>
  </si>
  <si>
    <t>Some weeks lack complete reflections.</t>
  </si>
  <si>
    <t>Section D completed but lacks depth.</t>
  </si>
  <si>
    <t>Grammar issues in some reflections.</t>
  </si>
  <si>
    <t>Lacks critical insights in feedback.</t>
  </si>
  <si>
    <t>Few actionable future steps provided.</t>
  </si>
  <si>
    <t>ILO 3</t>
  </si>
  <si>
    <t xml:space="preserve">Ethical and Legal Responsibility. The student is aware of legal and ethical aspects within the context of their professional work environment and is able to make substantiated considerations in this regard. They act with justice and integrity. 
</t>
  </si>
  <si>
    <t>A (Points: 3)</t>
  </si>
  <si>
    <t>B (Points: 3)</t>
  </si>
  <si>
    <t>C (Points: 5)</t>
  </si>
  <si>
    <t>3.1 The student is able to identify, and analyze AI applications in fictional and real-life (business) scenarios by examining and applying relevant concepts from AI literature and theory.</t>
  </si>
  <si>
    <t xml:space="preserve">
Student submits a complete learning log, work log and self-assessment rubric. The student exhibits professional behaviour during the datalab. The chosen Sci-Fi movie or (TV) series must receive approval from the mentor. Additionally, presentation slides should be uploaded through Brightspace Assignments, and the presentation itself should be no longer than 7 minutes. Finally, the student must complete the DataLab Preparation Quizzes available on Brightspace before the set deadline. </t>
  </si>
  <si>
    <t>The student is able to identify, and describe an AI topic within a Sci-Fi movie or (TV) series, and connect it to the relevant domain(s), and subdomain(s) of the Taxonomy of AI.</t>
  </si>
  <si>
    <t xml:space="preserve">The student is able to provide one example of an AI application within a real-life (business) setting that is related to their chosen AI topic.  </t>
  </si>
  <si>
    <t xml:space="preserve">The student is able to evaluate the technical feasibility of the AI topic by critically assessing its application within a real-life (business) setting. </t>
  </si>
  <si>
    <t>The student is able to articulate the potential ethical and/or legal consequences of implementing the chosen AI topic in a real-life (business) setting.</t>
  </si>
  <si>
    <t>The student is able to incorporate academic practices by including in-text citations and a reference list, and at least one scholarly source in the presentation.</t>
  </si>
  <si>
    <t>Your work meets the prerequisites of this ILO.</t>
  </si>
  <si>
    <t>Your work meets this criterion. The link to the presentation slides is missing or not working. We were lenient with evidencing for this assignment; however, this level will not meet the stricter standards expected of you in the next blocks.</t>
  </si>
  <si>
    <t>You partially meet this criterion. Your reference list includes a scholarly source, however you failed to include in-text citations in your presentation. The link to the presentation slides is missing or not working. We were lenient with evidencing for this assignment; however, this level will not meet the stricter standards expected of you in the next blocks.</t>
  </si>
  <si>
    <t>ILO 7</t>
  </si>
  <si>
    <t xml:space="preserve">Data Analysis. The student can use analytical and statistical methods to analyze data to create value for individuals, organizations and domains. 
 </t>
  </si>
  <si>
    <t>C (Points: 3)</t>
  </si>
  <si>
    <t>D (Points: 3)</t>
  </si>
  <si>
    <t>E (Points: 3)</t>
  </si>
  <si>
    <t>7.1 The student can use analytical and statistical methods to analyze data to create value for individuals, organizations and domains. </t>
  </si>
  <si>
    <t xml:space="preserve">Both the raw data files and the processed data files before the visualizations are built must be provided. The document detailing the process is submitted. Student submits  a complete learning log, work log and self-assessment rubric. The student exhibits professional behaviour during the datalab. </t>
  </si>
  <si>
    <t>The student is able to describe data using measure of central tendency such as mean, median, mode or measures of dispersion such as standard deviation, range and IQR and determine which measure is best applicable to solve a use-case.</t>
  </si>
  <si>
    <t>The student can effectively apply fundamental data manipulation tools and techniques to organize and prepare data for visualization.</t>
  </si>
  <si>
    <t>The student is able to calculate and interpret measures of association such as a correlation coefficient that addresses the use-case, documenting the process.</t>
  </si>
  <si>
    <t>The student is able to utilize advanced data manipulation techniques to efficiently manipulate and structure data for visualization</t>
  </si>
  <si>
    <t>The student is able to recognize the data science lifecyle as an iterative process and can clearly distinguish between phases of CRISP-DM, documenting the process.</t>
  </si>
  <si>
    <t>Your evidence link in the learning log for your report is missing. I have given you the benefit of the doubt this time because it was in your deliverables folder on GitHub. Next time you will not meet the prerequisites and will get 0 for the ILO. Please be more careful.</t>
  </si>
  <si>
    <t>Interesting use of progress chart to show min, mean, and max values.</t>
  </si>
  <si>
    <t>Data preparation mentioned but lacks detail on Power BI-specific processes.</t>
  </si>
  <si>
    <t>Not sure if this is correct. Also understanding of this is incorrect</t>
  </si>
  <si>
    <t>Basic manipulation described; advanced techniques not well-explained.</t>
  </si>
  <si>
    <t>Processes mentioned but lack clear articulation of iterative steps in CRISP-DM.</t>
  </si>
  <si>
    <t>ILO 10</t>
  </si>
  <si>
    <t xml:space="preserve">10.0  Visualization. The student can apply visualization and storytelling techniques and skills to effectively and accurately inform stakeholders about (interim) results of AI and DS approaches. 
</t>
  </si>
  <si>
    <t>10.1 The student is able to produce relevant and understandable data visualizations or reports for specific targets groups using industry standard tools.</t>
  </si>
  <si>
    <t xml:space="preserve">The student should submit the dashboard and the document detailing the process, addressing the creative brief. Student submits  a complete learning log, work log and self-assessment rubric. The student exhibits professional behaviour during the datalab. </t>
  </si>
  <si>
    <t>The student is able to compose a clear data-driven research question and is able to import data from 'flat-file' format to the visualization tool .</t>
  </si>
  <si>
    <t xml:space="preserve">The student is able to identify the variable types in the chosen dataset, select, clean and/or transform an appropriate dataset to answer the data-driven research question. </t>
  </si>
  <si>
    <t>The student is able to  generate appropriate visuals, effectively explain the generated visuals, link the explanations to the data driven reasearch question, and justify their creation.</t>
  </si>
  <si>
    <t>The student is able to utilize advanced functions in the visualization tool. The student is able to create a user-friendly dashboard, adhering to UI/UX principles. The rationale connecting these advanced visuals to the data-driven research question is documented.</t>
  </si>
  <si>
    <t>The student is able to identify the shortcomings of the current implementation and  propose next steps for future research.</t>
  </si>
  <si>
    <t>Data imported correctly. Clear research question related to food price inflation and health.</t>
  </si>
  <si>
    <t>Variables are identified, but no detailed explanation of transformations or proper measures.</t>
  </si>
  <si>
    <t>Some appropriate visuals used but not always correctly.</t>
  </si>
  <si>
    <t>Year slicer would have been better as a slider, a bit disjointed. Doesn't flow.</t>
  </si>
  <si>
    <t>Shortcomings addressed with proposals for improvement (e.g., dynamic filters, real-time updates).</t>
  </si>
  <si>
    <t xml:space="preserve">Project Total </t>
  </si>
  <si>
    <t>CRISP-DM Cycle</t>
  </si>
  <si>
    <t>CRISP Phase</t>
  </si>
  <si>
    <t>Competency</t>
  </si>
  <si>
    <t>Description</t>
  </si>
  <si>
    <t>Graduate Level</t>
  </si>
  <si>
    <t>Professional Development</t>
  </si>
  <si>
    <t xml:space="preserve">Project management and cooperation </t>
  </si>
  <si>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</si>
  <si>
    <t xml:space="preserve">Researching and reflective attitude </t>
  </si>
  <si>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</si>
  <si>
    <t>Responsibility</t>
  </si>
  <si>
    <t>The student is aware of legal and ethical aspects within the context of her professional work environment and is able to make substantiated considerations in this regard. The student acts from justice and integrity.</t>
  </si>
  <si>
    <t>Business understanding</t>
  </si>
  <si>
    <t>Problem analysis</t>
  </si>
  <si>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</si>
  <si>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Domain knowledge</t>
  </si>
  <si>
    <t>The student has such knowledge of and insight into one or more domains that The student can function as a discussion partner for experts. The student is able to quickly immerse herself in new domains and associated professional networks.</t>
  </si>
  <si>
    <t>Data understanding</t>
  </si>
  <si>
    <t>Data collection and processing</t>
  </si>
  <si>
    <t>The student masters (programming) skills to acquire, pre-process, process and manage the necessary data to create value for individuals, organizations and domains.</t>
  </si>
  <si>
    <t>Data preparation</t>
  </si>
  <si>
    <t>Data analysis</t>
  </si>
  <si>
    <t>The studentan can use analytical and statistical methods to analyse data to create value for individuals, organizations and domains.</t>
  </si>
  <si>
    <t>Modelling</t>
  </si>
  <si>
    <t>The studentan apply modelling techniques including Machine Learning and AI to create value for individuals, organizations and domains.</t>
  </si>
  <si>
    <t>Design, prototyping and implementation</t>
  </si>
  <si>
    <t>The studentan develop a prototype using an iterative cycle, explicitly involving stakeholders, and implement applications within an (existing) architecture.</t>
  </si>
  <si>
    <t>Evaluation &amp; Deployment</t>
  </si>
  <si>
    <t>Visualisation</t>
  </si>
  <si>
    <t>The student can apply visualization and storytelling techniques and skills to effectively and accurately inform stakeholders about (interim) results of AI and DS approaches.</t>
  </si>
  <si>
    <t>Reporting and advising</t>
  </si>
  <si>
    <t>The studentan can translate (interim) results into effective reporting. The student sees opportunities and possibilities and can translate these from a market-oriented vision into new concepts, products or services, while keeping the business side of the organization in mind.</t>
  </si>
  <si>
    <t> </t>
  </si>
  <si>
    <t>Dublin Descriptors</t>
  </si>
  <si>
    <t>#</t>
  </si>
  <si>
    <t>Outcomes</t>
  </si>
  <si>
    <t>First cycle qualifications (Bachelor Level)
Qualifications that signify completion of the first cycle are awarded to students who:</t>
  </si>
  <si>
    <t>Second cycle qualifications (Master Level)
Qualifications that signify completion of the second cycle are awarded to students who:</t>
  </si>
  <si>
    <t>Knowledge and Understanding</t>
  </si>
  <si>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</si>
  <si>
    <t>Have demonstrated knowledge and understanding that is founded upon and extends and/or enhances that typically associated with the first cycle, and that provides a basis or opportunity for originality in developing and/or applying ideas, often within a research context.</t>
  </si>
  <si>
    <t>Applying Knowledge and Understanding</t>
  </si>
  <si>
    <t>Can apply their knowledge and understanding in a manner that indicates a professional approach to their work or vocation, and have competences typically demonstrated through devising and sustaining arguments and solving problems within their field of study.</t>
  </si>
  <si>
    <t>Can apply their knowledge and understanding, and problem solving abilities in new or unfamiliar environments within broader (or multidisciplinary) contexts related to their field of study.</t>
  </si>
  <si>
    <t>Making Judgements</t>
  </si>
  <si>
    <t>Have the ability to gather and interpret relevant data (usually within their field of study) to inform judgements that include reflection on relevant social, scientific or ethical issues.</t>
  </si>
  <si>
    <t>Have the ability to integrate knowledge and handle complexity, and formulate judgements with incomplete or limited information, but that include reflecting on social and ethical responsibilities linked to the application of their knowledge and judgements.</t>
  </si>
  <si>
    <t>Communication</t>
  </si>
  <si>
    <t>Can communicate information, ideas, problems and solutions to both specialist and non- specialist audiences.</t>
  </si>
  <si>
    <t>Can communicate their conclusions, and the knowledge and rationale underpinning these, to specialist and non-specialist audiences clearly and unambiguously.</t>
  </si>
  <si>
    <t>Learning Skills</t>
  </si>
  <si>
    <t>Have developed those learning skills that are necessary for them to continue to undertake further study with a high degree of autonomy.</t>
  </si>
  <si>
    <t>Have the learning skills to allow them to continue to study in a manner that may be largely self-directed or autonomous.</t>
  </si>
  <si>
    <t>ILO</t>
  </si>
  <si>
    <t>Data Structure - Demonstrate understanding of standard data structure and able to derive required structures for the project with strong reasoning and able to discuss the pros and cons.</t>
  </si>
  <si>
    <t>Missing (0 points)</t>
  </si>
  <si>
    <t>Poor (2 points)</t>
  </si>
  <si>
    <t>Insufficient (4 points)</t>
  </si>
  <si>
    <t>Sufficient (6 points)</t>
  </si>
  <si>
    <t>Good (8 points)</t>
  </si>
  <si>
    <t>Excellent (10 points)</t>
  </si>
  <si>
    <t>Demonstrates an understanding of standard datastructures and how they are selected, the internal structure and use.</t>
  </si>
  <si>
    <t>Data Structure - Demonstrate understanding of standard data structures (Containers, algorithms, iterators etc)</t>
  </si>
  <si>
    <t xml:space="preserve">Not addressed this block in project work.
</t>
  </si>
  <si>
    <t>Research for the basic data structures is not enough to start the implementation for a working code.</t>
  </si>
  <si>
    <t>Researched basic structures without much in depth analysis showing partial understanding of the concept .</t>
  </si>
  <si>
    <t>Analysed the requirements for the project and researched those data structure well enough to get them working in the project.</t>
  </si>
  <si>
    <t>Reseached in-depth, for performance factors (memory, runtime overheads, robustness etc..) of the data structures and able to conclude the pros &amp; cons of their implementation.</t>
  </si>
  <si>
    <t>Researched the best practices for building a library which can be used for generic purposes.</t>
  </si>
  <si>
    <t xml:space="preserve">Not evidenced this block in learning Log.
</t>
  </si>
  <si>
    <t>Poorly Evidenced in Learning Log.</t>
  </si>
  <si>
    <t>Documentation fail to prove certain key points which help in mapping the research to the project's need.</t>
  </si>
  <si>
    <t>The understanding is well documented including certain key reflection towards next steps on the topics.</t>
  </si>
  <si>
    <t>Researched exceptions and edge conditions of the structures for robust implementation .</t>
  </si>
  <si>
    <t>Presented an excellent research document, backed up with use cases and details from project.</t>
  </si>
  <si>
    <t>Demonstrating understanding of performance (memory, runtime overheads, robustness etc..) of the derived data types, the overall game performance and memory footprint.</t>
  </si>
  <si>
    <t>Data Stucture - Build your library of data stuctures</t>
  </si>
  <si>
    <t>Not addressed this block in project work.</t>
  </si>
  <si>
    <t>Poorly analysed the used case for data structure followed by incorrect to no implementation.</t>
  </si>
  <si>
    <t>Standard operators are implemented to minimum functionality.</t>
  </si>
  <si>
    <t>All standard operators are functional with only minor or no bugs.</t>
  </si>
  <si>
    <t>Required data structures implemented fully and used well in project.</t>
  </si>
  <si>
    <t>Library proves robustness with implemented unit test cases.</t>
  </si>
  <si>
    <t>Deriving an efficient practice for a context, backing up with strong reasons for the chosen approach.</t>
  </si>
  <si>
    <t>Poorly evidenced in Learning Log.</t>
  </si>
  <si>
    <t>Rare use cases demonstrated in project.</t>
  </si>
  <si>
    <t>Data structures partially organised in a library.</t>
  </si>
  <si>
    <t>All or most of the data structures organised in a library.</t>
  </si>
  <si>
    <t>Library is generic enough to be used for multiple projects this block.</t>
  </si>
  <si>
    <t>M</t>
  </si>
  <si>
    <t>P</t>
  </si>
  <si>
    <t>Is</t>
  </si>
  <si>
    <t>S</t>
  </si>
  <si>
    <t>G</t>
  </si>
  <si>
    <t>E</t>
  </si>
  <si>
    <t>Working Environment : 3.1 - Proficient in using development and production tools at a professional level (e.g. Perforce, Visual Studio- 2019 as an editor / debugger / profiler).</t>
  </si>
  <si>
    <t>Poor demonstration of use cases of VS2019 as a  editor, debugger. Repeated mistakes in using VS2019 due to lack of understanding and research on the topics. Did not demonstrated much learning on the topic and progress. 
Poorly documented the learning.</t>
  </si>
  <si>
    <t>Shown use cases and understanding of VS2019 as a C++ project editor.
Can demonstrate some usertanding and use cases of VS2019 Debugger.</t>
  </si>
  <si>
    <t>Can demonstrate extensive use of VS2019 debugger. 
Researched and included VS2019 plugins and shows understanding of the usage and purposes of the plugins.
Can create VS2019 C++ project from scratch
Can maintain filters and physical folders with consistent naming conventions for VS2019 projects.</t>
  </si>
  <si>
    <t>Can proficiently use VS2019 profiler and shows understanding of profiler concepts and how they can useful in improving performance of game
researched into atleast 1 or more profilers (CPU/GPU) and discussed the pros and cons or similaritites with VS2019 profiler.
Based on the project's requirement invest into atleast 1 more production /developement tool (eg: 2D-Level editors, Sound Editors etc.).</t>
  </si>
  <si>
    <t>Attitude towards building an automatic pipeline integrating production tools for build releases or production helpers.</t>
  </si>
  <si>
    <t>Perforce</t>
  </si>
  <si>
    <t>Poor understanding of source control operations, and consistent repetation of minor mistakes using perforce for project without showcasing any progress in learning. Poorly documented evidence</t>
  </si>
  <si>
    <t>Can use perforce for a day to day basis with basic functionalities, but does not demonstrate much understanding of concepts through use cases or learning documents.</t>
  </si>
  <si>
    <t>Demonstrates understanding of Perforce by showing use of atleast 4 or more operations and their purposes. Shows clear understanding of working with source control - Changelist, versions etc.</t>
  </si>
  <si>
    <t>Demonstrates understanding of Perforce by showing: 1) use of atleast 6 or more operations and their purposes. 2) Atleast 1 use case showcasing alternate set of operations serving the same use case. Shows clear understanding of source control termilogy - Client/Server/Workspace.</t>
  </si>
  <si>
    <t>Optional, uses perforce commandline utility to build and configure custom perforce clients for basic operations.</t>
  </si>
  <si>
    <t>Working Environment : 3.2 - Understanding C++ Build Process &amp; setting up and maintaining multiple game projects optimally where the projects easily check-out and compiles on other computers.</t>
  </si>
  <si>
    <t>Learning evidence and project setup demonstrates poor understanding of the build process in C++.</t>
  </si>
  <si>
    <t>Sufficient understanding of pre-compile and compile stage, but insufficient understanding of Linker stage. Documents not well written to demonstate the learning.</t>
  </si>
  <si>
    <t xml:space="preserve">Shows basic understanding of 3 key phases of C++ build process (precompile, compile and link stage) and reports the learning well in document and applies them in project. Makes suitable judgement of the files that needs to be or does not need to be on Perforce . </t>
  </si>
  <si>
    <t>Shows in depth analysis of the stages of build process in C++ project. 
Only the essential source files for building the game is submitted to perforce atleast 80% of the block.</t>
  </si>
  <si>
    <t>Explore other build option than VS2019. (Commandline and batch files can also be considered)</t>
  </si>
  <si>
    <t>Final build compiles and runs with less than 3 warnings and no errors</t>
  </si>
  <si>
    <t>Source code from perforce can be downloaded and build with no errors and warnings more than 80% of the time throughout the block</t>
  </si>
  <si>
    <t>Missing</t>
  </si>
  <si>
    <t>IS</t>
  </si>
  <si>
    <t>Good</t>
  </si>
  <si>
    <t>Excellent</t>
  </si>
  <si>
    <t>Use of C++ efficiently &amp; effectively and OOP design principles.</t>
  </si>
  <si>
    <t>C++</t>
  </si>
  <si>
    <t>No evidence provided</t>
  </si>
  <si>
    <t>Poor understanding of C++ language constructs</t>
  </si>
  <si>
    <t>Correct usage of basic data types, casting methods, references, and pointers. Understands scope, object lifetime, and control flow</t>
  </si>
  <si>
    <t>Appropriate usage of classes, functions, polymorphism and abstraction. Code runs cleanly without any crashes. Understanding of basic memory primitives such as arrays.</t>
  </si>
  <si>
    <t>Documented reasoning behind decisions with regards to performance and memory usage of chosen algorithms. No memory leaks or undefined behaviour present in the code. Understanding of the stack and heap. Understanding of binary and bitwise operations.</t>
  </si>
  <si>
    <t xml:space="preserve">Applies modern C++ guidelines with a clear reasoning why or why not. Consistent coding style. Const-correct code with clear and defined responsibilities for all objects and functions. </t>
  </si>
  <si>
    <t>OOP</t>
  </si>
  <si>
    <t>BLOCK A</t>
  </si>
  <si>
    <t>ADS&amp;AI Competencies</t>
  </si>
  <si>
    <t>IGAD Phases</t>
  </si>
  <si>
    <t>Knowledge &amp; Insight</t>
  </si>
  <si>
    <t>Application of K&amp;I</t>
  </si>
  <si>
    <t>Can analyse a problem by describing the context, trade-offs and formulation of the final demand (as a result of a process of demand articulation). In doing so, she identifies the possible solutions. As a result, she can formulate an approach for a data trajectory considering relevant actors and interests, involving relevant theories and (technical) possibilities.</t>
  </si>
  <si>
    <t>x</t>
  </si>
  <si>
    <t>Has such knowledge of and insight into one or more domains that she can function as a discussion partner for experts. She is able to quickly immerse herself in new domains and associated professional networks.</t>
  </si>
  <si>
    <t>Can collaborate (internationally) in multidisciplinary teams with different levels of knowledge in the field of data use and applications. She can set up and execute projects in collaboration with stakeholders and team members. She can act as a sounding board in discussions with team members, customers, users and experts. She strives for a good balance between input of her own vision and additional expertise of others. She is able to lead a team.</t>
  </si>
  <si>
    <t>Applies relevant (research) methods and techniques in combination with relevant and adequate argumentation. She can reflect on (business) processes and her role in them, both theoretically and practically, by constantly evaluating her own actions and adapting them with input from others. She can translate the result of the reflection into concrete personal learning objectives.</t>
  </si>
  <si>
    <t>Is aware of legal and ethical aspects within the context of her professional work environment and is able to make substantiated considerations in this regard. She acts from justice and integrity.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</si>
</sst>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36" x14ac:knownFonts="1">
    <font>
      <sz val="10"/>
      <color rgb="FF000000"/>
      <name val="Arial"/>
      <scheme val="minor"/>
    </font>
    <font>
      <sz val="10"/>
      <color rgb="FF000000"/>
      <name val="Calibri"/>
      <family val="2"/>
    </font>
    <font>
      <b/>
      <sz val="10"/>
      <color theme="1"/>
      <name val="Calibri"/>
      <family val="2"/>
    </font>
    <font>
      <sz val="10"/>
      <color theme="1"/>
      <name val="Arial"/>
      <family val="2"/>
    </font>
    <font>
      <sz val="10"/>
      <color rgb="FF000000"/>
      <name val="Arial"/>
      <family val="2"/>
    </font>
    <font>
      <sz val="11"/>
      <color rgb="FF252424"/>
      <name val="Arial"/>
      <family val="2"/>
    </font>
    <font>
      <b/>
      <sz val="20"/>
      <color rgb="FF000000"/>
      <name val="Arial"/>
      <family val="2"/>
    </font>
    <font>
      <b/>
      <sz val="10"/>
      <color rgb="FFFFFFFF"/>
      <name val="Arial"/>
      <family val="2"/>
    </font>
    <font>
      <b/>
      <sz val="10"/>
      <color theme="1"/>
      <name val="Arial"/>
      <family val="2"/>
    </font>
    <font>
      <sz val="9"/>
      <color rgb="FF000000"/>
      <name val="Arial"/>
      <family val="2"/>
    </font>
    <font>
      <i/>
      <sz val="9"/>
      <color rgb="FF000000"/>
      <name val="Arial"/>
      <family val="2"/>
    </font>
    <font>
      <sz val="10"/>
      <color theme="1"/>
      <name val="Aptos"/>
      <family val="2"/>
    </font>
    <font>
      <sz val="10"/>
      <color rgb="FF000000"/>
      <name val="Aptos"/>
      <family val="2"/>
    </font>
    <font>
      <sz val="18"/>
      <color theme="1"/>
      <name val="Aptos"/>
      <family val="2"/>
    </font>
    <font>
      <sz val="10"/>
      <name val="Aptos"/>
      <family val="2"/>
    </font>
    <font>
      <sz val="10"/>
      <color theme="0"/>
      <name val="Aptos"/>
      <family val="2"/>
    </font>
    <font>
      <b/>
      <sz val="10"/>
      <color theme="0"/>
      <name val="Aptos"/>
      <family val="2"/>
    </font>
    <font>
      <b/>
      <sz val="10"/>
      <color rgb="FFFFFFFF"/>
      <name val="Aptos"/>
      <family val="2"/>
    </font>
    <font>
      <b/>
      <sz val="14"/>
      <color theme="1"/>
      <name val="Aptos"/>
      <family val="2"/>
    </font>
    <font>
      <b/>
      <sz val="24"/>
      <color theme="1"/>
      <name val="Aptos"/>
      <family val="2"/>
    </font>
    <font>
      <sz val="14"/>
      <color theme="1"/>
      <name val="Aptos"/>
      <family val="2"/>
    </font>
    <font>
      <b/>
      <sz val="10"/>
      <color theme="1"/>
      <name val="Aptos"/>
      <family val="2"/>
    </font>
    <font>
      <sz val="14"/>
      <color rgb="FF000000"/>
      <name val="Aptos"/>
      <family val="2"/>
    </font>
    <font>
      <sz val="9"/>
      <color rgb="FF000000"/>
      <name val="Aptos"/>
      <family val="2"/>
    </font>
    <font>
      <i/>
      <sz val="10"/>
      <color theme="1"/>
      <name val="Aptos"/>
      <family val="2"/>
    </font>
    <font>
      <i/>
      <sz val="18"/>
      <color theme="1"/>
      <name val="Aptos"/>
      <family val="2"/>
    </font>
    <font>
      <sz val="12"/>
      <color theme="0"/>
      <name val="Aptos"/>
      <family val="2"/>
    </font>
    <font>
      <b/>
      <sz val="18"/>
      <color theme="1"/>
      <name val="Aptos"/>
      <family val="2"/>
    </font>
    <font>
      <sz val="18"/>
      <color rgb="FF000000"/>
      <name val="Aptos"/>
      <family val="2"/>
    </font>
    <font>
      <b/>
      <sz val="10"/>
      <name val="Aptos"/>
      <family val="2"/>
    </font>
    <font>
      <b/>
      <sz val="10"/>
      <color rgb="FF000000"/>
      <name val="Calibri"/>
      <family val="2"/>
    </font>
    <font>
      <sz val="20"/>
      <color theme="1"/>
      <name val="Aptos"/>
      <family val="2"/>
    </font>
    <font>
      <b/>
      <sz val="20"/>
      <color theme="1"/>
      <name val="Aptos"/>
      <family val="2"/>
    </font>
    <font>
      <i/>
      <sz val="12"/>
      <color theme="1"/>
      <name val="Aptos"/>
      <family val="2"/>
    </font>
    <font>
      <sz val="12"/>
      <color theme="1"/>
      <name val="Aptos"/>
      <family val="2"/>
    </font>
    <font>
      <sz val="10"/>
      <color rgb="FF000000"/>
      <name val="Arial"/>
      <scheme val="minor"/>
    </font>
  </fonts>
  <fills count="45">
    <fill>
      <patternFill patternType="none"/>
    </fill>
    <fill>
      <patternFill patternType="gray125"/>
    </fill>
    <fill>
      <patternFill patternType="solid">
        <fgColor rgb="FF4C1130"/>
        <bgColor rgb="FF4C1130"/>
      </patternFill>
    </fill>
    <fill>
      <patternFill patternType="solid">
        <fgColor rgb="FFF7DCE8"/>
        <bgColor rgb="FFF7DCE8"/>
      </patternFill>
    </fill>
    <fill>
      <patternFill patternType="solid">
        <fgColor theme="1"/>
        <bgColor theme="1"/>
      </patternFill>
    </fill>
    <fill>
      <patternFill patternType="solid">
        <fgColor rgb="FF000000"/>
        <bgColor rgb="FF000000"/>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FFE1CC"/>
        <bgColor rgb="FFFFE1CC"/>
      </patternFill>
    </fill>
    <fill>
      <patternFill patternType="solid">
        <fgColor rgb="FFBDBDBD"/>
        <bgColor rgb="FFBDBDBD"/>
      </patternFill>
    </fill>
    <fill>
      <patternFill patternType="solid">
        <fgColor rgb="FFD5A6BD"/>
        <bgColor rgb="FFD5A6BD"/>
      </patternFill>
    </fill>
    <fill>
      <patternFill patternType="solid">
        <fgColor rgb="FFEAD1DC"/>
        <bgColor rgb="FFEAD1DC"/>
      </patternFill>
    </fill>
    <fill>
      <patternFill patternType="solid">
        <fgColor rgb="FFD9EAD3"/>
        <bgColor rgb="FFD9EAD3"/>
      </patternFill>
    </fill>
    <fill>
      <patternFill patternType="solid">
        <fgColor rgb="FFD9D2E9"/>
        <bgColor rgb="FFD9D2E9"/>
      </patternFill>
    </fill>
    <fill>
      <patternFill patternType="solid">
        <fgColor rgb="FFF3F3F3"/>
        <bgColor rgb="FFF3F3F3"/>
      </patternFill>
    </fill>
    <fill>
      <patternFill patternType="solid">
        <fgColor rgb="FF2F9299"/>
        <bgColor rgb="FF2F9299"/>
      </patternFill>
    </fill>
    <fill>
      <patternFill patternType="solid">
        <fgColor rgb="FF7AD592"/>
        <bgColor rgb="FF7AD592"/>
      </patternFill>
    </fill>
    <fill>
      <patternFill patternType="solid">
        <fgColor rgb="FFFEE1CC"/>
        <bgColor rgb="FFFEE1CC"/>
      </patternFill>
    </fill>
    <fill>
      <patternFill patternType="solid">
        <fgColor rgb="FFE97132"/>
        <bgColor rgb="FF000000"/>
      </patternFill>
    </fill>
    <fill>
      <patternFill patternType="solid">
        <fgColor theme="5" tint="0.79998168889431442"/>
        <bgColor indexed="64"/>
      </patternFill>
    </fill>
    <fill>
      <patternFill patternType="solid">
        <fgColor theme="1"/>
        <bgColor indexed="64"/>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tint="-0.249977111117893"/>
        <bgColor rgb="FFF3F3F3"/>
      </patternFill>
    </fill>
    <fill>
      <patternFill patternType="solid">
        <fgColor theme="0" tint="-0.249977111117893"/>
        <bgColor indexed="64"/>
      </patternFill>
    </fill>
    <fill>
      <patternFill patternType="solid">
        <fgColor theme="0" tint="-0.14999847407452621"/>
        <bgColor rgb="FFF3F3F3"/>
      </patternFill>
    </fill>
    <fill>
      <patternFill patternType="solid">
        <fgColor theme="0" tint="-0.14999847407452621"/>
        <bgColor indexed="64"/>
      </patternFill>
    </fill>
    <fill>
      <patternFill patternType="solid">
        <fgColor theme="0" tint="-0.249977111117893"/>
        <bgColor rgb="FFD9D9D9"/>
      </patternFill>
    </fill>
    <fill>
      <patternFill patternType="solid">
        <fgColor theme="0" tint="-0.14999847407452621"/>
        <bgColor rgb="FFD9D9D9"/>
      </patternFill>
    </fill>
    <fill>
      <patternFill patternType="solid">
        <fgColor rgb="FFD0D0D0"/>
        <bgColor rgb="FF000000"/>
      </patternFill>
    </fill>
    <fill>
      <patternFill patternType="solid">
        <fgColor rgb="FFD0D0D0"/>
        <bgColor rgb="FFD8D8D8"/>
      </patternFill>
    </fill>
    <fill>
      <patternFill patternType="solid">
        <fgColor rgb="FFD0D0D0"/>
        <bgColor rgb="FFD9D9D9"/>
      </patternFill>
    </fill>
    <fill>
      <patternFill patternType="solid">
        <fgColor rgb="FFB7E2CD"/>
        <bgColor rgb="FFFFE1CC"/>
      </patternFill>
    </fill>
    <fill>
      <patternFill patternType="solid">
        <fgColor rgb="FFEA7131"/>
        <bgColor rgb="FFFFFFFF"/>
      </patternFill>
    </fill>
    <fill>
      <patternFill patternType="solid">
        <fgColor rgb="FFEA7131"/>
        <bgColor rgb="FFFBDAD7"/>
      </patternFill>
    </fill>
    <fill>
      <patternFill patternType="solid">
        <fgColor rgb="FFEA7131"/>
        <bgColor rgb="FFFFE1CC"/>
      </patternFill>
    </fill>
    <fill>
      <patternFill patternType="solid">
        <fgColor rgb="FFEA7131"/>
        <bgColor indexed="64"/>
      </patternFill>
    </fill>
    <fill>
      <patternFill patternType="solid">
        <fgColor rgb="FFFFF2CD"/>
        <bgColor rgb="FFFBDAD7"/>
      </patternFill>
    </fill>
    <fill>
      <patternFill patternType="solid">
        <fgColor rgb="FFFFE1CD"/>
        <bgColor rgb="FFFFE1CC"/>
      </patternFill>
    </fill>
    <fill>
      <patternFill patternType="solid">
        <fgColor rgb="FFF7C7AC"/>
        <bgColor rgb="FFFEF2CD"/>
      </patternFill>
    </fill>
    <fill>
      <patternFill patternType="solid">
        <fgColor rgb="FFFFE1CD"/>
        <bgColor rgb="FFD1F1DA"/>
      </patternFill>
    </fill>
    <fill>
      <patternFill patternType="solid">
        <fgColor rgb="FFF7C7AC"/>
        <bgColor rgb="FFDAF1F3"/>
      </patternFill>
    </fill>
    <fill>
      <patternFill patternType="solid">
        <fgColor rgb="FFFFE1CD"/>
        <bgColor rgb="FFD9E7FD"/>
      </patternFill>
    </fill>
  </fills>
  <borders count="50">
    <border>
      <left/>
      <right/>
      <top/>
      <bottom/>
      <diagonal/>
    </border>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theme="1"/>
      </right>
      <top/>
      <bottom/>
      <diagonal/>
    </border>
    <border>
      <left style="thin">
        <color theme="1"/>
      </left>
      <right/>
      <top/>
      <bottom/>
      <diagonal/>
    </border>
    <border>
      <left/>
      <right/>
      <top style="thin">
        <color theme="9" tint="0.39997558519241921"/>
      </top>
      <bottom style="thin">
        <color theme="9" tint="0.39997558519241921"/>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1"/>
      </right>
      <top style="thin">
        <color indexed="64"/>
      </top>
      <bottom style="thin">
        <color indexed="64"/>
      </bottom>
      <diagonal/>
    </border>
    <border>
      <left/>
      <right style="thin">
        <color indexed="64"/>
      </right>
      <top/>
      <bottom style="thin">
        <color indexed="64"/>
      </bottom>
      <diagonal/>
    </border>
    <border>
      <left/>
      <right style="thin">
        <color theme="1"/>
      </right>
      <top style="thin">
        <color theme="1"/>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right style="thin">
        <color indexed="64"/>
      </right>
      <top/>
      <bottom/>
      <diagonal/>
    </border>
    <border>
      <left style="thin">
        <color indexed="64"/>
      </left>
      <right style="thin">
        <color theme="1"/>
      </right>
      <top style="thin">
        <color theme="1"/>
      </top>
      <bottom style="thin">
        <color indexed="64"/>
      </bottom>
      <diagonal/>
    </border>
    <border>
      <left style="thin">
        <color indexed="64"/>
      </left>
      <right style="thin">
        <color theme="1"/>
      </right>
      <top style="thin">
        <color indexed="64"/>
      </top>
      <bottom style="thin">
        <color indexed="64"/>
      </bottom>
      <diagonal/>
    </border>
    <border>
      <left/>
      <right/>
      <top/>
      <bottom style="thin">
        <color theme="9" tint="0.39997558519241921"/>
      </bottom>
      <diagonal/>
    </border>
    <border>
      <left style="thin">
        <color indexed="64"/>
      </left>
      <right style="thin">
        <color theme="1"/>
      </right>
      <top/>
      <bottom/>
      <diagonal/>
    </border>
    <border>
      <left style="medium">
        <color rgb="FF000000"/>
      </left>
      <right style="medium">
        <color rgb="FF000000"/>
      </right>
      <top style="medium">
        <color rgb="FF000000"/>
      </top>
      <bottom/>
      <diagonal/>
    </border>
    <border>
      <left style="thin">
        <color rgb="FF000000"/>
      </left>
      <right style="medium">
        <color rgb="FF000000"/>
      </right>
      <top/>
      <bottom/>
      <diagonal/>
    </border>
  </borders>
  <cellStyleXfs count="2">
    <xf numFmtId="0" fontId="0" fillId="0" borderId="1"/>
    <xf numFmtId="164" fontId="35" fillId="0" borderId="1"/>
  </cellStyleXfs>
  <cellXfs count="230">
    <xf numFmtId="0" fontId="0" fillId="0" borderId="0" xfId="0" applyBorder="1"/>
    <xf numFmtId="0" fontId="4" fillId="0" borderId="6" xfId="0" applyFont="1" applyBorder="1"/>
    <xf numFmtId="0" fontId="4" fillId="0" borderId="7" xfId="0" applyFont="1" applyBorder="1"/>
    <xf numFmtId="0" fontId="4" fillId="0" borderId="6" xfId="0" applyFont="1" applyBorder="1" applyAlignment="1">
      <alignment horizontal="center" vertical="top"/>
    </xf>
    <xf numFmtId="0" fontId="4" fillId="0" borderId="7" xfId="0" applyFont="1" applyBorder="1" applyAlignment="1">
      <alignment horizontal="center" vertical="top"/>
    </xf>
    <xf numFmtId="0" fontId="4" fillId="0" borderId="8" xfId="0" applyFont="1" applyBorder="1" applyAlignment="1">
      <alignment horizontal="center" vertical="top"/>
    </xf>
    <xf numFmtId="0" fontId="4" fillId="0" borderId="9" xfId="0" applyFont="1" applyBorder="1"/>
    <xf numFmtId="0" fontId="3" fillId="0" borderId="9" xfId="0" applyFont="1" applyBorder="1" applyAlignment="1">
      <alignment horizontal="center" vertical="top" wrapText="1"/>
    </xf>
    <xf numFmtId="0" fontId="3" fillId="0" borderId="10" xfId="0" applyFont="1" applyBorder="1" applyAlignment="1">
      <alignment horizontal="center" vertical="top" wrapText="1"/>
    </xf>
    <xf numFmtId="0" fontId="8" fillId="0" borderId="9" xfId="0" applyFont="1" applyBorder="1" applyAlignment="1">
      <alignment vertical="top"/>
    </xf>
    <xf numFmtId="0" fontId="8" fillId="0" borderId="10" xfId="0" applyFont="1" applyBorder="1" applyAlignment="1">
      <alignment vertical="top"/>
    </xf>
    <xf numFmtId="0" fontId="3" fillId="17" borderId="11" xfId="0" applyFont="1" applyFill="1" applyBorder="1" applyAlignment="1">
      <alignment horizontal="center" vertical="center"/>
    </xf>
    <xf numFmtId="0" fontId="9" fillId="17" borderId="12" xfId="0" applyFont="1" applyFill="1" applyBorder="1" applyAlignment="1">
      <alignment horizontal="left" vertical="center" wrapText="1"/>
    </xf>
    <xf numFmtId="0" fontId="3" fillId="17" borderId="13" xfId="0" applyFont="1" applyFill="1" applyBorder="1" applyAlignment="1">
      <alignment horizontal="center" vertical="center"/>
    </xf>
    <xf numFmtId="0" fontId="3" fillId="17" borderId="12" xfId="0" applyFont="1" applyFill="1" applyBorder="1" applyAlignment="1">
      <alignment horizontal="center" vertical="center"/>
    </xf>
    <xf numFmtId="0" fontId="4" fillId="0" borderId="14" xfId="0" applyFont="1" applyBorder="1"/>
    <xf numFmtId="0" fontId="3" fillId="18" borderId="11" xfId="0" applyFont="1" applyFill="1" applyBorder="1" applyAlignment="1">
      <alignment horizontal="center" vertical="center"/>
    </xf>
    <xf numFmtId="0" fontId="10" fillId="18" borderId="12" xfId="0" applyFont="1" applyFill="1" applyBorder="1" applyAlignment="1">
      <alignment horizontal="left" vertical="center" wrapText="1"/>
    </xf>
    <xf numFmtId="0" fontId="9" fillId="18" borderId="12" xfId="0" applyFont="1" applyFill="1" applyBorder="1" applyAlignment="1">
      <alignment horizontal="left" vertical="center" wrapText="1"/>
    </xf>
    <xf numFmtId="0" fontId="3" fillId="18" borderId="13"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5" xfId="0" applyFont="1" applyFill="1" applyBorder="1" applyAlignment="1">
      <alignment horizontal="center" vertical="center"/>
    </xf>
    <xf numFmtId="0" fontId="3" fillId="18" borderId="16" xfId="0" applyFont="1" applyFill="1" applyBorder="1" applyAlignment="1">
      <alignment horizontal="center" vertical="center"/>
    </xf>
    <xf numFmtId="0" fontId="3" fillId="18" borderId="17" xfId="0" applyFont="1" applyFill="1" applyBorder="1" applyAlignment="1">
      <alignment horizontal="center" vertical="center"/>
    </xf>
    <xf numFmtId="0" fontId="3" fillId="6" borderId="1" xfId="0" applyFont="1" applyFill="1" applyAlignment="1">
      <alignment wrapText="1"/>
    </xf>
    <xf numFmtId="49" fontId="1" fillId="8" borderId="1" xfId="0" applyNumberFormat="1" applyFont="1" applyFill="1" applyAlignment="1">
      <alignment wrapText="1"/>
    </xf>
    <xf numFmtId="0" fontId="4" fillId="7" borderId="1" xfId="0" applyFont="1" applyFill="1" applyAlignment="1">
      <alignment horizontal="left" vertical="top" wrapText="1"/>
    </xf>
    <xf numFmtId="0" fontId="4" fillId="11" borderId="1" xfId="0" applyFont="1" applyFill="1" applyAlignment="1">
      <alignment horizontal="left" wrapText="1"/>
    </xf>
    <xf numFmtId="0" fontId="3" fillId="12" borderId="1" xfId="0" applyFont="1" applyFill="1" applyAlignment="1">
      <alignment wrapText="1"/>
    </xf>
    <xf numFmtId="0" fontId="3" fillId="13" borderId="1" xfId="0" applyFont="1" applyFill="1" applyAlignment="1">
      <alignment wrapText="1"/>
    </xf>
    <xf numFmtId="0" fontId="3" fillId="14" borderId="1" xfId="0" applyFont="1" applyFill="1" applyAlignment="1">
      <alignment wrapText="1"/>
    </xf>
    <xf numFmtId="0" fontId="3" fillId="11" borderId="1" xfId="0" applyFont="1" applyFill="1" applyAlignment="1">
      <alignment wrapText="1"/>
    </xf>
    <xf numFmtId="0" fontId="4" fillId="7" borderId="1" xfId="0" applyFont="1" applyFill="1" applyAlignment="1">
      <alignment horizontal="left"/>
    </xf>
    <xf numFmtId="0" fontId="5" fillId="7" borderId="1" xfId="0" applyFont="1" applyFill="1"/>
    <xf numFmtId="0" fontId="4" fillId="7" borderId="1" xfId="0" applyFont="1" applyFill="1" applyAlignment="1">
      <alignment horizontal="left" wrapText="1"/>
    </xf>
    <xf numFmtId="0" fontId="7" fillId="5" borderId="1" xfId="0" applyFont="1" applyFill="1" applyAlignment="1">
      <alignment horizontal="center" vertical="top"/>
    </xf>
    <xf numFmtId="0" fontId="3" fillId="5" borderId="10" xfId="0" applyFont="1" applyFill="1" applyBorder="1" applyAlignment="1">
      <alignment vertical="top"/>
    </xf>
    <xf numFmtId="0" fontId="11" fillId="2" borderId="1" xfId="0" applyFont="1" applyFill="1"/>
    <xf numFmtId="0" fontId="12" fillId="0" borderId="0" xfId="0" applyFont="1" applyBorder="1"/>
    <xf numFmtId="0" fontId="11" fillId="3" borderId="1" xfId="0" applyFont="1" applyFill="1"/>
    <xf numFmtId="0" fontId="15" fillId="3" borderId="1" xfId="0" applyFont="1" applyFill="1"/>
    <xf numFmtId="0" fontId="18" fillId="3" borderId="1" xfId="0" applyFont="1" applyFill="1" applyAlignment="1">
      <alignment horizontal="center" vertical="center" textRotation="90"/>
    </xf>
    <xf numFmtId="49" fontId="17" fillId="5" borderId="1" xfId="0" applyNumberFormat="1" applyFont="1" applyFill="1" applyAlignment="1">
      <alignment horizontal="center"/>
    </xf>
    <xf numFmtId="49" fontId="17" fillId="5" borderId="1" xfId="0" applyNumberFormat="1" applyFont="1" applyFill="1"/>
    <xf numFmtId="49" fontId="17" fillId="5" borderId="1" xfId="0" applyNumberFormat="1" applyFont="1" applyFill="1" applyAlignment="1">
      <alignment vertical="top"/>
    </xf>
    <xf numFmtId="0" fontId="22" fillId="8" borderId="1" xfId="0" applyFont="1" applyFill="1" applyAlignment="1">
      <alignment horizontal="center" vertical="center" wrapText="1"/>
    </xf>
    <xf numFmtId="0" fontId="22" fillId="3" borderId="1" xfId="0" applyFont="1" applyFill="1" applyAlignment="1">
      <alignment horizontal="center" vertical="center" wrapText="1"/>
    </xf>
    <xf numFmtId="0" fontId="11" fillId="3" borderId="1" xfId="0" applyFont="1" applyFill="1" applyAlignment="1">
      <alignment horizontal="left" vertical="top"/>
    </xf>
    <xf numFmtId="0" fontId="11" fillId="3" borderId="1" xfId="0" applyFont="1" applyFill="1" applyAlignment="1">
      <alignment horizontal="center" vertical="top"/>
    </xf>
    <xf numFmtId="49" fontId="11" fillId="6" borderId="18" xfId="0" applyNumberFormat="1" applyFont="1" applyFill="1" applyBorder="1" applyAlignment="1">
      <alignment horizontal="center" vertical="center"/>
    </xf>
    <xf numFmtId="49" fontId="24" fillId="6" borderId="18" xfId="0" applyNumberFormat="1" applyFont="1" applyFill="1" applyBorder="1" applyAlignment="1">
      <alignment horizontal="center" vertical="center"/>
    </xf>
    <xf numFmtId="49" fontId="16" fillId="4" borderId="1" xfId="0" applyNumberFormat="1" applyFont="1" applyFill="1" applyAlignment="1">
      <alignment horizontal="center"/>
    </xf>
    <xf numFmtId="0" fontId="17" fillId="5" borderId="1" xfId="0" applyFont="1" applyFill="1" applyAlignment="1">
      <alignment horizontal="center" vertical="center"/>
    </xf>
    <xf numFmtId="0" fontId="12" fillId="7" borderId="1" xfId="0" applyFont="1" applyFill="1" applyAlignment="1">
      <alignment horizontal="center" vertical="center" wrapText="1"/>
    </xf>
    <xf numFmtId="0" fontId="26" fillId="0" borderId="1" xfId="0" applyFont="1" applyAlignment="1">
      <alignment horizontal="center" vertical="center" wrapText="1"/>
    </xf>
    <xf numFmtId="0" fontId="17" fillId="5" borderId="1" xfId="0" applyFont="1" applyFill="1" applyAlignment="1">
      <alignment vertical="center"/>
    </xf>
    <xf numFmtId="0" fontId="20" fillId="7" borderId="24" xfId="0" applyFont="1" applyFill="1" applyBorder="1" applyAlignment="1">
      <alignment horizontal="center" vertical="center"/>
    </xf>
    <xf numFmtId="0" fontId="22" fillId="3" borderId="24" xfId="0" applyFont="1" applyFill="1" applyBorder="1" applyAlignment="1">
      <alignment horizontal="center" vertical="center" wrapText="1"/>
    </xf>
    <xf numFmtId="0" fontId="22" fillId="10" borderId="26" xfId="0" applyFont="1" applyFill="1" applyBorder="1" applyAlignment="1">
      <alignment horizontal="center" vertical="center" wrapText="1"/>
    </xf>
    <xf numFmtId="0" fontId="22" fillId="10" borderId="24" xfId="0" applyFont="1" applyFill="1" applyBorder="1" applyAlignment="1">
      <alignment horizontal="center" vertical="center" wrapText="1"/>
    </xf>
    <xf numFmtId="0" fontId="22" fillId="3" borderId="25" xfId="0" applyFont="1" applyFill="1" applyBorder="1" applyAlignment="1">
      <alignment horizontal="center" vertical="center" wrapText="1"/>
    </xf>
    <xf numFmtId="0" fontId="22" fillId="3" borderId="26" xfId="0" applyFont="1" applyFill="1" applyBorder="1" applyAlignment="1">
      <alignment horizontal="center" vertical="center" wrapText="1"/>
    </xf>
    <xf numFmtId="0" fontId="20" fillId="7" borderId="25" xfId="0" applyFont="1" applyFill="1" applyBorder="1" applyAlignment="1">
      <alignment horizontal="center" vertical="center"/>
    </xf>
    <xf numFmtId="0" fontId="20" fillId="7" borderId="26" xfId="0" applyFont="1" applyFill="1" applyBorder="1" applyAlignment="1">
      <alignment horizontal="center" vertical="center"/>
    </xf>
    <xf numFmtId="0" fontId="22" fillId="10" borderId="25" xfId="0" applyFont="1" applyFill="1" applyBorder="1" applyAlignment="1">
      <alignment horizontal="center" vertical="center" wrapText="1"/>
    </xf>
    <xf numFmtId="0" fontId="22" fillId="10" borderId="23" xfId="0" applyFont="1" applyFill="1" applyBorder="1" applyAlignment="1">
      <alignment horizontal="center" vertical="center" wrapText="1"/>
    </xf>
    <xf numFmtId="0" fontId="20" fillId="7" borderId="1" xfId="0" applyFont="1" applyFill="1" applyAlignment="1">
      <alignment horizontal="center" vertical="center"/>
    </xf>
    <xf numFmtId="0" fontId="22" fillId="10" borderId="1" xfId="0" applyFont="1" applyFill="1" applyAlignment="1">
      <alignment horizontal="center" vertical="center"/>
    </xf>
    <xf numFmtId="0" fontId="22" fillId="3" borderId="1" xfId="0" applyFont="1" applyFill="1" applyAlignment="1">
      <alignment horizontal="center" vertical="center"/>
    </xf>
    <xf numFmtId="0" fontId="14" fillId="19" borderId="1" xfId="0" applyFont="1" applyFill="1"/>
    <xf numFmtId="0" fontId="12" fillId="0" borderId="18" xfId="0" applyFont="1" applyBorder="1"/>
    <xf numFmtId="0" fontId="12" fillId="0" borderId="28" xfId="0" applyFont="1" applyBorder="1"/>
    <xf numFmtId="0" fontId="30" fillId="31" borderId="18" xfId="0" applyFont="1" applyFill="1" applyBorder="1" applyAlignment="1">
      <alignment horizontal="center" vertical="center" wrapText="1"/>
    </xf>
    <xf numFmtId="0" fontId="21" fillId="33" borderId="37" xfId="0" applyFont="1" applyFill="1" applyBorder="1" applyAlignment="1">
      <alignment horizontal="center" vertical="center" wrapText="1"/>
    </xf>
    <xf numFmtId="0" fontId="21" fillId="33" borderId="35" xfId="0" applyFont="1" applyFill="1" applyBorder="1" applyAlignment="1">
      <alignment horizontal="center" vertical="center" wrapText="1"/>
    </xf>
    <xf numFmtId="0" fontId="21" fillId="33" borderId="24" xfId="0" applyFont="1" applyFill="1" applyBorder="1" applyAlignment="1">
      <alignment horizontal="center" vertical="center" wrapText="1"/>
    </xf>
    <xf numFmtId="0" fontId="22" fillId="8" borderId="18" xfId="0" applyFont="1" applyFill="1" applyBorder="1" applyAlignment="1">
      <alignment horizontal="center" vertical="center" wrapText="1"/>
    </xf>
    <xf numFmtId="0" fontId="22" fillId="3" borderId="18" xfId="0" applyFont="1" applyFill="1" applyBorder="1" applyAlignment="1">
      <alignment horizontal="center" vertical="center" wrapText="1"/>
    </xf>
    <xf numFmtId="0" fontId="20" fillId="7" borderId="18" xfId="0" applyFont="1" applyFill="1" applyBorder="1" applyAlignment="1">
      <alignment horizontal="center" vertical="center"/>
    </xf>
    <xf numFmtId="0" fontId="22" fillId="10" borderId="18" xfId="0" applyFont="1" applyFill="1" applyBorder="1" applyAlignment="1">
      <alignment horizontal="center" vertical="center"/>
    </xf>
    <xf numFmtId="0" fontId="22" fillId="3" borderId="18" xfId="0" applyFont="1" applyFill="1" applyBorder="1" applyAlignment="1">
      <alignment horizontal="center" vertical="center"/>
    </xf>
    <xf numFmtId="0" fontId="20" fillId="7" borderId="24" xfId="0" applyFont="1" applyFill="1" applyBorder="1" applyAlignment="1">
      <alignment vertical="center"/>
    </xf>
    <xf numFmtId="0" fontId="22" fillId="3" borderId="26" xfId="0" applyFont="1" applyFill="1" applyBorder="1" applyAlignment="1">
      <alignment horizontal="center" vertical="center"/>
    </xf>
    <xf numFmtId="0" fontId="22" fillId="3" borderId="24" xfId="0" applyFont="1" applyFill="1" applyBorder="1" applyAlignment="1">
      <alignment vertical="center"/>
    </xf>
    <xf numFmtId="0" fontId="22" fillId="10" borderId="18" xfId="0" applyFont="1" applyFill="1" applyBorder="1" applyAlignment="1">
      <alignment horizontal="center" vertical="center" wrapText="1"/>
    </xf>
    <xf numFmtId="0" fontId="20" fillId="7" borderId="18" xfId="0" applyFont="1" applyFill="1" applyBorder="1" applyAlignment="1">
      <alignment vertical="center"/>
    </xf>
    <xf numFmtId="0" fontId="22" fillId="10" borderId="18" xfId="0" applyFont="1" applyFill="1" applyBorder="1" applyAlignment="1">
      <alignment vertical="center" wrapText="1"/>
    </xf>
    <xf numFmtId="0" fontId="22" fillId="3" borderId="18" xfId="0" applyFont="1" applyFill="1" applyBorder="1" applyAlignment="1">
      <alignment vertical="center" wrapText="1"/>
    </xf>
    <xf numFmtId="0" fontId="34" fillId="36" borderId="18" xfId="0" applyFont="1" applyFill="1" applyBorder="1" applyAlignment="1">
      <alignment horizontal="center" vertical="center" wrapText="1"/>
    </xf>
    <xf numFmtId="0" fontId="34" fillId="37" borderId="27" xfId="0" applyFont="1" applyFill="1" applyBorder="1" applyAlignment="1">
      <alignment horizontal="center" vertical="center" wrapText="1"/>
    </xf>
    <xf numFmtId="0" fontId="34" fillId="37" borderId="18" xfId="0" applyFont="1" applyFill="1" applyBorder="1" applyAlignment="1">
      <alignment horizontal="center" vertical="center" wrapText="1"/>
    </xf>
    <xf numFmtId="0" fontId="12" fillId="39" borderId="28" xfId="0" applyFont="1" applyFill="1" applyBorder="1" applyAlignment="1">
      <alignment horizontal="left" vertical="center" wrapText="1"/>
    </xf>
    <xf numFmtId="0" fontId="12" fillId="40" borderId="28" xfId="0" applyFont="1" applyFill="1" applyBorder="1" applyAlignment="1">
      <alignment horizontal="left" vertical="center" wrapText="1"/>
    </xf>
    <xf numFmtId="0" fontId="11" fillId="41" borderId="28" xfId="0" applyFont="1" applyFill="1" applyBorder="1" applyAlignment="1">
      <alignment horizontal="left" vertical="center" wrapText="1"/>
    </xf>
    <xf numFmtId="0" fontId="11" fillId="42" borderId="28" xfId="0" applyFont="1" applyFill="1" applyBorder="1" applyAlignment="1">
      <alignment horizontal="left" vertical="center" wrapText="1"/>
    </xf>
    <xf numFmtId="0" fontId="11" fillId="43" borderId="28" xfId="0" applyFont="1" applyFill="1" applyBorder="1" applyAlignment="1">
      <alignment horizontal="left" vertical="center" wrapText="1"/>
    </xf>
    <xf numFmtId="0" fontId="11" fillId="44" borderId="29" xfId="0" applyFont="1" applyFill="1" applyBorder="1" applyAlignment="1">
      <alignment horizontal="left" vertical="center" wrapText="1"/>
    </xf>
    <xf numFmtId="0" fontId="21" fillId="33" borderId="36" xfId="0" applyFont="1" applyFill="1" applyBorder="1" applyAlignment="1">
      <alignment horizontal="center" vertical="center" wrapText="1"/>
    </xf>
    <xf numFmtId="0" fontId="21" fillId="33" borderId="40" xfId="0" applyFont="1" applyFill="1" applyBorder="1" applyAlignment="1">
      <alignment horizontal="center" vertical="center" wrapText="1"/>
    </xf>
    <xf numFmtId="0" fontId="12" fillId="39" borderId="41" xfId="0" applyFont="1" applyFill="1" applyBorder="1" applyAlignment="1">
      <alignment horizontal="left" vertical="center" wrapText="1"/>
    </xf>
    <xf numFmtId="0" fontId="12" fillId="9" borderId="42" xfId="0" applyFont="1" applyFill="1" applyBorder="1" applyAlignment="1">
      <alignment vertical="center" wrapText="1"/>
    </xf>
    <xf numFmtId="0" fontId="11" fillId="43" borderId="43" xfId="0" applyFont="1" applyFill="1" applyBorder="1" applyAlignment="1">
      <alignment horizontal="left" vertical="center" wrapText="1"/>
    </xf>
    <xf numFmtId="0" fontId="11" fillId="44" borderId="19" xfId="0" applyFont="1" applyFill="1" applyBorder="1" applyAlignment="1">
      <alignment horizontal="left" vertical="center" wrapText="1"/>
    </xf>
    <xf numFmtId="0" fontId="34" fillId="36" borderId="29" xfId="0" applyFont="1" applyFill="1" applyBorder="1" applyAlignment="1">
      <alignment horizontal="center" vertical="center" wrapText="1"/>
    </xf>
    <xf numFmtId="0" fontId="34" fillId="37" borderId="28" xfId="0" applyFont="1" applyFill="1" applyBorder="1" applyAlignment="1">
      <alignment horizontal="center" vertical="center" wrapText="1"/>
    </xf>
    <xf numFmtId="0" fontId="34" fillId="37" borderId="29" xfId="0" applyFont="1" applyFill="1" applyBorder="1" applyAlignment="1">
      <alignment horizontal="center" vertical="center" wrapText="1"/>
    </xf>
    <xf numFmtId="0" fontId="12" fillId="39" borderId="18" xfId="0" applyFont="1" applyFill="1" applyBorder="1" applyAlignment="1">
      <alignment horizontal="left" vertical="center" wrapText="1"/>
    </xf>
    <xf numFmtId="0" fontId="12" fillId="9" borderId="18" xfId="0" applyFont="1" applyFill="1" applyBorder="1" applyAlignment="1">
      <alignment vertical="center" wrapText="1"/>
    </xf>
    <xf numFmtId="0" fontId="11" fillId="43" borderId="18" xfId="0" applyFont="1" applyFill="1" applyBorder="1" applyAlignment="1">
      <alignment horizontal="left" vertical="center" wrapText="1"/>
    </xf>
    <xf numFmtId="0" fontId="11" fillId="44" borderId="18" xfId="0" applyFont="1" applyFill="1" applyBorder="1" applyAlignment="1">
      <alignment horizontal="left" vertical="center" wrapText="1"/>
    </xf>
    <xf numFmtId="0" fontId="23" fillId="23" borderId="1" xfId="0" applyFont="1" applyFill="1" applyAlignment="1">
      <alignment horizontal="left" vertical="center" wrapText="1"/>
    </xf>
    <xf numFmtId="0" fontId="23" fillId="28" borderId="1" xfId="0" applyFont="1" applyFill="1" applyAlignment="1">
      <alignment horizontal="left" vertical="center" wrapText="1"/>
    </xf>
    <xf numFmtId="0" fontId="17" fillId="5" borderId="1" xfId="0" applyFont="1" applyFill="1" applyAlignment="1">
      <alignment wrapText="1"/>
    </xf>
    <xf numFmtId="0" fontId="17" fillId="5" borderId="1" xfId="0" applyFont="1" applyFill="1" applyAlignment="1">
      <alignment vertical="top"/>
    </xf>
    <xf numFmtId="0" fontId="23" fillId="26" borderId="1" xfId="0" applyFont="1" applyFill="1" applyAlignment="1">
      <alignment horizontal="left" vertical="center" wrapText="1"/>
    </xf>
    <xf numFmtId="0" fontId="12" fillId="0" borderId="1" xfId="0" applyFont="1"/>
    <xf numFmtId="0" fontId="15" fillId="0" borderId="1" xfId="0" applyFont="1"/>
    <xf numFmtId="0" fontId="12" fillId="0" borderId="1" xfId="0" applyFont="1" applyAlignment="1">
      <alignment horizontal="left" vertical="top"/>
    </xf>
    <xf numFmtId="0" fontId="12" fillId="0" borderId="1" xfId="0" applyFont="1" applyAlignment="1">
      <alignment horizontal="center" vertical="top"/>
    </xf>
    <xf numFmtId="0" fontId="11" fillId="20" borderId="1" xfId="0" applyFont="1" applyFill="1"/>
    <xf numFmtId="0" fontId="17" fillId="20" borderId="1" xfId="0" applyFont="1" applyFill="1" applyAlignment="1">
      <alignment vertical="top"/>
    </xf>
    <xf numFmtId="0" fontId="17" fillId="20" borderId="1" xfId="0" applyFont="1" applyFill="1" applyAlignment="1">
      <alignment horizontal="center" vertical="top"/>
    </xf>
    <xf numFmtId="0" fontId="22" fillId="20" borderId="1" xfId="0" applyFont="1" applyFill="1" applyAlignment="1">
      <alignment horizontal="center" vertical="center" wrapText="1"/>
    </xf>
    <xf numFmtId="0" fontId="14" fillId="20" borderId="1" xfId="0" applyFont="1" applyFill="1"/>
    <xf numFmtId="0" fontId="12" fillId="21" borderId="1" xfId="0" applyFont="1" applyFill="1"/>
    <xf numFmtId="0" fontId="17" fillId="5" borderId="1" xfId="0" applyFont="1" applyFill="1" applyAlignment="1">
      <alignment horizontal="right" vertical="top"/>
    </xf>
    <xf numFmtId="0" fontId="21" fillId="22" borderId="1" xfId="0" applyFont="1" applyFill="1" applyAlignment="1">
      <alignment vertical="center" wrapText="1"/>
    </xf>
    <xf numFmtId="0" fontId="14" fillId="22" borderId="1" xfId="0" applyFont="1" applyFill="1" applyAlignment="1">
      <alignment horizontal="center" vertical="center"/>
    </xf>
    <xf numFmtId="0" fontId="21" fillId="24" borderId="1" xfId="0" applyFont="1" applyFill="1" applyAlignment="1">
      <alignment vertical="center" wrapText="1"/>
    </xf>
    <xf numFmtId="0" fontId="14" fillId="24" borderId="1" xfId="0" applyFont="1" applyFill="1" applyAlignment="1">
      <alignment horizontal="center" vertical="center"/>
    </xf>
    <xf numFmtId="0" fontId="21" fillId="25" borderId="1" xfId="0" applyFont="1" applyFill="1" applyAlignment="1">
      <alignment vertical="center" wrapText="1"/>
    </xf>
    <xf numFmtId="0" fontId="14" fillId="25" borderId="1" xfId="0" applyFont="1" applyFill="1" applyAlignment="1">
      <alignment horizontal="center" vertical="center"/>
    </xf>
    <xf numFmtId="0" fontId="21" fillId="27" borderId="1" xfId="0" applyFont="1" applyFill="1" applyAlignment="1">
      <alignment vertical="center" wrapText="1"/>
    </xf>
    <xf numFmtId="0" fontId="14" fillId="27" borderId="1" xfId="0" applyFont="1" applyFill="1" applyAlignment="1">
      <alignment horizontal="center" vertical="center"/>
    </xf>
    <xf numFmtId="0" fontId="14" fillId="20" borderId="1" xfId="0" applyFont="1" applyFill="1" applyAlignment="1">
      <alignment horizontal="left" vertical="top"/>
    </xf>
    <xf numFmtId="0" fontId="21" fillId="29" borderId="1" xfId="0" applyFont="1" applyFill="1" applyAlignment="1">
      <alignment vertical="center" wrapText="1"/>
    </xf>
    <xf numFmtId="0" fontId="14" fillId="29" borderId="1" xfId="0" applyFont="1" applyFill="1" applyAlignment="1">
      <alignment horizontal="center" vertical="center"/>
    </xf>
    <xf numFmtId="0" fontId="22" fillId="20" borderId="1" xfId="0" applyFont="1" applyFill="1" applyAlignment="1">
      <alignment horizontal="left" vertical="top" wrapText="1"/>
    </xf>
    <xf numFmtId="0" fontId="21" fillId="30" borderId="1" xfId="0" applyFont="1" applyFill="1" applyAlignment="1">
      <alignment vertical="center" wrapText="1"/>
    </xf>
    <xf numFmtId="0" fontId="14" fillId="30" borderId="1" xfId="0" applyFont="1" applyFill="1" applyAlignment="1">
      <alignment horizontal="center" vertical="center"/>
    </xf>
    <xf numFmtId="0" fontId="11" fillId="20" borderId="1" xfId="0" applyFont="1" applyFill="1" applyAlignment="1">
      <alignment vertical="top"/>
    </xf>
    <xf numFmtId="0" fontId="22" fillId="20" borderId="1" xfId="0" applyFont="1" applyFill="1" applyAlignment="1">
      <alignment horizontal="center" vertical="top" wrapText="1"/>
    </xf>
    <xf numFmtId="0" fontId="17" fillId="20" borderId="1" xfId="0" applyFont="1" applyFill="1"/>
    <xf numFmtId="0" fontId="12" fillId="20" borderId="1" xfId="0" applyFont="1" applyFill="1"/>
    <xf numFmtId="0" fontId="17" fillId="5" borderId="1" xfId="0" applyFont="1" applyFill="1"/>
    <xf numFmtId="0" fontId="29" fillId="0" borderId="1" xfId="0" applyFont="1" applyAlignment="1">
      <alignment horizontal="left"/>
    </xf>
    <xf numFmtId="0" fontId="14" fillId="0" borderId="1" xfId="0" applyFont="1" applyAlignment="1">
      <alignment wrapText="1"/>
    </xf>
    <xf numFmtId="0" fontId="29" fillId="8" borderId="1" xfId="0" applyFont="1" applyFill="1" applyAlignment="1">
      <alignment horizontal="left"/>
    </xf>
    <xf numFmtId="0" fontId="14" fillId="8" borderId="1" xfId="0" applyFont="1" applyFill="1" applyAlignment="1">
      <alignment wrapText="1"/>
    </xf>
    <xf numFmtId="0" fontId="0" fillId="0" borderId="1" xfId="0"/>
    <xf numFmtId="0" fontId="3" fillId="0" borderId="1" xfId="0" applyFont="1"/>
    <xf numFmtId="0" fontId="3" fillId="0" borderId="1" xfId="0" applyFont="1" applyAlignment="1">
      <alignment wrapText="1"/>
    </xf>
    <xf numFmtId="0" fontId="3" fillId="0" borderId="1" xfId="0" applyFont="1" applyAlignment="1">
      <alignment vertical="top" wrapText="1"/>
    </xf>
    <xf numFmtId="0" fontId="3" fillId="0" borderId="1" xfId="0" applyFont="1" applyAlignment="1">
      <alignment vertical="center"/>
    </xf>
    <xf numFmtId="0" fontId="4" fillId="0" borderId="1" xfId="0" applyFont="1"/>
    <xf numFmtId="0" fontId="3" fillId="0" borderId="1" xfId="0" applyFont="1" applyAlignment="1">
      <alignment horizontal="center" vertical="top" wrapText="1"/>
    </xf>
    <xf numFmtId="0" fontId="8" fillId="0" borderId="1" xfId="0" applyFont="1" applyAlignment="1">
      <alignment vertical="top"/>
    </xf>
    <xf numFmtId="49" fontId="25" fillId="0" borderId="47" xfId="0" applyNumberFormat="1" applyFont="1" applyBorder="1" applyAlignment="1">
      <alignment horizontal="center" vertical="center" wrapText="1"/>
    </xf>
    <xf numFmtId="0" fontId="12" fillId="0" borderId="1" xfId="0" applyFont="1"/>
    <xf numFmtId="0" fontId="0" fillId="0" borderId="20" xfId="0" applyBorder="1"/>
    <xf numFmtId="0" fontId="0" fillId="0" borderId="19" xfId="0" applyBorder="1"/>
    <xf numFmtId="0" fontId="33" fillId="35" borderId="30" xfId="0" applyFont="1" applyFill="1" applyBorder="1" applyAlignment="1">
      <alignment horizontal="center" vertical="center" wrapText="1"/>
    </xf>
    <xf numFmtId="0" fontId="0" fillId="0" borderId="30" xfId="0" applyBorder="1"/>
    <xf numFmtId="0" fontId="17" fillId="5" borderId="1" xfId="0" applyFont="1" applyFill="1" applyAlignment="1">
      <alignment horizontal="right" vertical="center"/>
    </xf>
    <xf numFmtId="0" fontId="21" fillId="33" borderId="18" xfId="0" applyFont="1" applyFill="1" applyBorder="1" applyAlignment="1">
      <alignment horizontal="center" vertical="top" wrapText="1"/>
    </xf>
    <xf numFmtId="0" fontId="12" fillId="9" borderId="19" xfId="0" applyFont="1" applyFill="1" applyBorder="1" applyAlignment="1">
      <alignment horizontal="center" vertical="center" wrapText="1"/>
    </xf>
    <xf numFmtId="0" fontId="13" fillId="3" borderId="1" xfId="0" applyFont="1" applyFill="1" applyAlignment="1">
      <alignment horizontal="center" vertical="center"/>
    </xf>
    <xf numFmtId="0" fontId="23" fillId="28" borderId="1" xfId="0" applyFont="1" applyFill="1" applyAlignment="1">
      <alignment horizontal="left" vertical="center" wrapText="1"/>
    </xf>
    <xf numFmtId="0" fontId="21" fillId="33" borderId="1" xfId="0" applyFont="1" applyFill="1" applyAlignment="1">
      <alignment horizontal="left" vertical="center" wrapText="1"/>
    </xf>
    <xf numFmtId="0" fontId="12" fillId="8" borderId="1" xfId="0" applyFont="1" applyFill="1" applyAlignment="1">
      <alignment horizontal="left" wrapText="1"/>
    </xf>
    <xf numFmtId="0" fontId="21" fillId="32" borderId="19" xfId="0" applyFont="1" applyFill="1" applyBorder="1" applyAlignment="1">
      <alignment horizontal="left" vertical="center" wrapText="1"/>
    </xf>
    <xf numFmtId="0" fontId="12" fillId="9" borderId="44" xfId="0" applyFont="1" applyFill="1" applyBorder="1" applyAlignment="1">
      <alignment horizontal="center" vertical="center" wrapText="1"/>
    </xf>
    <xf numFmtId="0" fontId="0" fillId="0" borderId="33" xfId="0" applyBorder="1"/>
    <xf numFmtId="0" fontId="0" fillId="0" borderId="34" xfId="0" applyBorder="1"/>
    <xf numFmtId="0" fontId="28" fillId="20" borderId="1" xfId="0" applyFont="1" applyFill="1"/>
    <xf numFmtId="0" fontId="24" fillId="7" borderId="18" xfId="0" applyFont="1" applyFill="1" applyBorder="1" applyAlignment="1">
      <alignment horizontal="center" vertical="center" wrapText="1"/>
    </xf>
    <xf numFmtId="0" fontId="17" fillId="5" borderId="1" xfId="0" applyFont="1" applyFill="1" applyAlignment="1">
      <alignment wrapText="1"/>
    </xf>
    <xf numFmtId="0" fontId="11" fillId="7" borderId="1" xfId="0" applyFont="1" applyFill="1" applyAlignment="1">
      <alignment horizontal="left" vertical="center" wrapText="1"/>
    </xf>
    <xf numFmtId="0" fontId="34" fillId="37" borderId="45" xfId="0" applyFont="1" applyFill="1" applyBorder="1" applyAlignment="1">
      <alignment horizontal="center" vertical="center" wrapText="1"/>
    </xf>
    <xf numFmtId="0" fontId="0" fillId="0" borderId="31" xfId="0" applyBorder="1"/>
    <xf numFmtId="0" fontId="0" fillId="0" borderId="38" xfId="0" applyBorder="1"/>
    <xf numFmtId="0" fontId="21" fillId="33" borderId="12" xfId="0" applyFont="1" applyFill="1" applyBorder="1" applyAlignment="1">
      <alignment horizontal="center" vertical="center" wrapText="1"/>
    </xf>
    <xf numFmtId="0" fontId="0" fillId="0" borderId="13" xfId="0" applyBorder="1"/>
    <xf numFmtId="0" fontId="21" fillId="33" borderId="1" xfId="0" applyFont="1" applyFill="1" applyAlignment="1">
      <alignment horizontal="left" vertical="top" wrapText="1"/>
    </xf>
    <xf numFmtId="0" fontId="21" fillId="33" borderId="35" xfId="0" applyFont="1" applyFill="1" applyBorder="1" applyAlignment="1">
      <alignment horizontal="center" vertical="center" wrapText="1"/>
    </xf>
    <xf numFmtId="0" fontId="0" fillId="0" borderId="36" xfId="0" applyBorder="1"/>
    <xf numFmtId="0" fontId="12" fillId="0" borderId="1" xfId="0" applyFont="1" applyAlignment="1">
      <alignment horizontal="left" wrapText="1"/>
    </xf>
    <xf numFmtId="0" fontId="23" fillId="23" borderId="1" xfId="0" applyFont="1" applyFill="1" applyAlignment="1">
      <alignment horizontal="left" vertical="center" wrapText="1"/>
    </xf>
    <xf numFmtId="164" fontId="19" fillId="0" borderId="22" xfId="1" applyFont="1" applyBorder="1" applyAlignment="1">
      <alignment horizontal="center" vertical="center"/>
    </xf>
    <xf numFmtId="0" fontId="0" fillId="0" borderId="46" xfId="0" applyBorder="1"/>
    <xf numFmtId="0" fontId="27" fillId="3" borderId="24" xfId="0" applyFont="1" applyFill="1" applyBorder="1" applyAlignment="1">
      <alignment horizontal="center" vertical="center"/>
    </xf>
    <xf numFmtId="0" fontId="0" fillId="0" borderId="23" xfId="0" applyBorder="1"/>
    <xf numFmtId="0" fontId="0" fillId="0" borderId="26" xfId="0" applyBorder="1"/>
    <xf numFmtId="0" fontId="11" fillId="7" borderId="18" xfId="0" applyFont="1" applyFill="1" applyBorder="1" applyAlignment="1">
      <alignment horizontal="center" vertical="center" wrapText="1"/>
    </xf>
    <xf numFmtId="0" fontId="11" fillId="7" borderId="39" xfId="0" applyFont="1" applyFill="1" applyBorder="1" applyAlignment="1">
      <alignment horizontal="left" vertical="center" wrapText="1"/>
    </xf>
    <xf numFmtId="0" fontId="0" fillId="0" borderId="39" xfId="0" applyBorder="1"/>
    <xf numFmtId="0" fontId="34" fillId="37" borderId="17" xfId="0" applyFont="1" applyFill="1" applyBorder="1" applyAlignment="1">
      <alignment horizontal="center" vertical="center" wrapText="1"/>
    </xf>
    <xf numFmtId="0" fontId="0" fillId="0" borderId="16" xfId="0" applyBorder="1"/>
    <xf numFmtId="0" fontId="20" fillId="0" borderId="21" xfId="0" applyFont="1" applyBorder="1" applyAlignment="1">
      <alignment horizontal="center" vertical="center"/>
    </xf>
    <xf numFmtId="0" fontId="0" fillId="0" borderId="21" xfId="0" applyBorder="1"/>
    <xf numFmtId="0" fontId="12" fillId="9" borderId="18" xfId="0" applyFont="1" applyFill="1" applyBorder="1" applyAlignment="1">
      <alignment horizontal="center" vertical="center" wrapText="1"/>
    </xf>
    <xf numFmtId="49" fontId="17" fillId="5" borderId="1" xfId="0" applyNumberFormat="1" applyFont="1" applyFill="1" applyAlignment="1">
      <alignment horizontal="center"/>
    </xf>
    <xf numFmtId="0" fontId="31" fillId="34" borderId="1" xfId="0" applyFont="1" applyFill="1" applyAlignment="1">
      <alignment horizontal="center" vertical="center" wrapText="1"/>
    </xf>
    <xf numFmtId="0" fontId="23" fillId="26" borderId="1" xfId="0" applyFont="1" applyFill="1" applyAlignment="1">
      <alignment horizontal="left" vertical="center" wrapText="1"/>
    </xf>
    <xf numFmtId="0" fontId="12" fillId="0" borderId="1" xfId="0" applyFont="1" applyAlignment="1">
      <alignment wrapText="1"/>
    </xf>
    <xf numFmtId="0" fontId="22" fillId="10" borderId="26" xfId="0" applyFont="1" applyFill="1" applyBorder="1" applyAlignment="1">
      <alignment horizontal="center" vertical="center"/>
    </xf>
    <xf numFmtId="0" fontId="22" fillId="10" borderId="1" xfId="0" applyFont="1" applyFill="1" applyAlignment="1">
      <alignment horizontal="center" vertical="center" wrapText="1"/>
    </xf>
    <xf numFmtId="0" fontId="12" fillId="9" borderId="32" xfId="0" applyFont="1" applyFill="1" applyBorder="1" applyAlignment="1">
      <alignment horizontal="center" vertical="center" wrapText="1"/>
    </xf>
    <xf numFmtId="0" fontId="21" fillId="32" borderId="1" xfId="0" applyFont="1" applyFill="1" applyAlignment="1">
      <alignment horizontal="left" vertical="top" wrapText="1"/>
    </xf>
    <xf numFmtId="0" fontId="32" fillId="38" borderId="1" xfId="0" applyFont="1" applyFill="1" applyAlignment="1">
      <alignment horizontal="center" vertical="center" wrapText="1"/>
    </xf>
    <xf numFmtId="0" fontId="32" fillId="0" borderId="18" xfId="0" applyFont="1" applyBorder="1" applyAlignment="1">
      <alignment horizontal="center" vertical="center" wrapText="1"/>
    </xf>
    <xf numFmtId="0" fontId="0" fillId="0" borderId="28" xfId="0" applyBorder="1"/>
    <xf numFmtId="0" fontId="12" fillId="8" borderId="1" xfId="0" applyFont="1" applyFill="1" applyAlignment="1">
      <alignment wrapText="1"/>
    </xf>
    <xf numFmtId="0" fontId="17" fillId="5" borderId="1" xfId="0" applyFont="1" applyFill="1" applyAlignment="1">
      <alignment vertical="top"/>
    </xf>
    <xf numFmtId="0" fontId="21" fillId="32" borderId="1" xfId="0" applyFont="1" applyFill="1" applyAlignment="1">
      <alignment horizontal="left" vertical="center" wrapText="1"/>
    </xf>
    <xf numFmtId="0" fontId="17" fillId="5" borderId="1" xfId="0" applyFont="1" applyFill="1" applyAlignment="1">
      <alignment horizontal="center" vertical="center"/>
    </xf>
    <xf numFmtId="0" fontId="33" fillId="35" borderId="18" xfId="0" applyFont="1" applyFill="1" applyBorder="1" applyAlignment="1">
      <alignment horizontal="center" vertical="center" wrapText="1"/>
    </xf>
    <xf numFmtId="0" fontId="16" fillId="4" borderId="1" xfId="0" applyFont="1" applyFill="1" applyAlignment="1">
      <alignment horizontal="right"/>
    </xf>
    <xf numFmtId="49" fontId="1" fillId="15" borderId="1" xfId="0" applyNumberFormat="1" applyFont="1" applyFill="1" applyAlignment="1">
      <alignment wrapText="1"/>
    </xf>
    <xf numFmtId="0" fontId="0" fillId="0" borderId="1" xfId="0"/>
    <xf numFmtId="0" fontId="2" fillId="8" borderId="1" xfId="0" applyFont="1" applyFill="1" applyAlignment="1">
      <alignment vertical="top" wrapText="1"/>
    </xf>
    <xf numFmtId="49" fontId="1" fillId="8" borderId="1" xfId="0" applyNumberFormat="1" applyFont="1" applyFill="1" applyAlignment="1">
      <alignment wrapText="1"/>
    </xf>
    <xf numFmtId="0" fontId="6" fillId="16" borderId="48"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7" fillId="5" borderId="4" xfId="0" applyFont="1" applyFill="1" applyBorder="1" applyAlignment="1">
      <alignment horizontal="left" vertical="top"/>
    </xf>
    <xf numFmtId="0" fontId="7" fillId="5" borderId="49" xfId="0" applyFont="1" applyFill="1" applyBorder="1" applyAlignment="1">
      <alignment horizontal="center" vertical="top"/>
    </xf>
    <xf numFmtId="0" fontId="7" fillId="5" borderId="1" xfId="0" applyFont="1" applyFill="1" applyAlignment="1">
      <alignment horizontal="center" vertical="top"/>
    </xf>
  </cellXfs>
  <cellStyles count="2">
    <cellStyle name="Comma" xfId="1" builtinId="3"/>
    <cellStyle name="Normal" xfId="0" builtinId="0"/>
  </cellStyles>
  <dxfs count="42">
    <dxf>
      <font>
        <color theme="1"/>
      </font>
    </dxf>
    <dxf>
      <fill>
        <patternFill>
          <bgColor rgb="FFFF0000"/>
        </patternFill>
      </fill>
    </dxf>
    <dxf>
      <font>
        <color rgb="FF006100"/>
      </font>
      <fill>
        <patternFill>
          <bgColor rgb="FFC6EFCE"/>
        </patternFill>
      </fill>
    </dxf>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D2F1DA"/>
          <bgColor rgb="FFD2F1DA"/>
        </patternFill>
      </fill>
    </dxf>
    <dxf>
      <fill>
        <patternFill patternType="solid">
          <fgColor rgb="FFFEF1CC"/>
          <bgColor rgb="FFFEF1CC"/>
        </patternFill>
      </fill>
    </dxf>
    <dxf>
      <fill>
        <patternFill patternType="solid">
          <fgColor rgb="FFFAD9D6"/>
          <bgColor rgb="FFFAD9D6"/>
        </patternFill>
      </fill>
    </dxf>
    <dxf>
      <fill>
        <patternFill patternType="solid">
          <fgColor rgb="FFFEE1CC"/>
          <bgColor rgb="FFFEE1CC"/>
        </patternFill>
      </fill>
    </dxf>
    <dxf>
      <fill>
        <patternFill patternType="solid">
          <fgColor rgb="FFD9F1F3"/>
          <bgColor rgb="FFD9F1F3"/>
        </patternFill>
      </fill>
    </dxf>
    <dxf>
      <fill>
        <patternFill patternType="solid">
          <fgColor rgb="FFD9E6FC"/>
          <bgColor rgb="FFD9E6FC"/>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FAD9D6"/>
          <bgColor rgb="FFFAD9D6"/>
        </patternFill>
      </fill>
    </dxf>
    <dxf>
      <fill>
        <patternFill patternType="solid">
          <fgColor rgb="FFFEE1CC"/>
          <bgColor rgb="FFFEE1CC"/>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FEE1CC"/>
          <bgColor rgb="FFFEE1CC"/>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AD9D6"/>
          <bgColor rgb="FFFAD9D6"/>
        </patternFill>
      </fill>
    </dxf>
    <dxf>
      <fill>
        <patternFill patternType="solid">
          <fgColor rgb="FFFAD9D6"/>
          <bgColor rgb="FFFAD9D6"/>
        </patternFill>
      </fill>
    </dxf>
    <dxf>
      <fill>
        <patternFill patternType="solid">
          <fgColor rgb="FFFEE1CC"/>
          <bgColor rgb="FFFEE1CC"/>
        </patternFill>
      </fill>
    </dxf>
    <dxf>
      <fill>
        <patternFill patternType="solid">
          <fgColor rgb="FFD9E6FC"/>
          <bgColor rgb="FFD9E6F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24"/>
  <sheetViews>
    <sheetView showGridLines="0" tabSelected="1" zoomScale="70" zoomScaleNormal="70" workbookViewId="0">
      <pane ySplit="7" topLeftCell="A8" activePane="bottomLeft" state="frozen"/>
      <selection pane="bottomLeft" activeCell="F3" sqref="F3:K7"/>
    </sheetView>
  </sheetViews>
  <sheetFormatPr defaultColWidth="12.44140625" defaultRowHeight="15" customHeight="1" x14ac:dyDescent="0.3"/>
  <cols>
    <col min="1" max="2" width="9.109375" style="38" customWidth="1"/>
    <col min="3" max="3" width="17.44140625" style="38" customWidth="1"/>
    <col min="4" max="4" width="27" style="38" customWidth="1"/>
    <col min="5" max="5" width="22.6640625" style="38" customWidth="1"/>
    <col min="6" max="6" width="37.88671875" style="38" customWidth="1"/>
    <col min="7" max="7" width="29.33203125" style="38" customWidth="1"/>
    <col min="8" max="8" width="29.6640625" style="38" customWidth="1"/>
    <col min="9" max="9" width="33.109375" style="38" customWidth="1"/>
    <col min="10" max="11" width="36.6640625" style="38" customWidth="1"/>
    <col min="12" max="12" width="17.109375" style="38" customWidth="1"/>
    <col min="13" max="13" width="6.6640625" style="38" customWidth="1"/>
    <col min="14" max="14" width="17.109375" style="38" customWidth="1"/>
    <col min="15" max="15" width="6.6640625" style="38" customWidth="1"/>
    <col min="16" max="25" width="14.44140625" style="38" customWidth="1"/>
    <col min="26" max="26" width="12.44140625" style="38" customWidth="1"/>
    <col min="27" max="16384" width="12.44140625" style="38"/>
  </cols>
  <sheetData>
    <row r="1" spans="1:25" ht="20.100000000000001" customHeight="1" x14ac:dyDescent="0.3">
      <c r="A1" s="69"/>
      <c r="B1" s="69"/>
      <c r="C1" s="69"/>
      <c r="D1" s="69"/>
      <c r="E1" s="69"/>
      <c r="F1" s="69"/>
      <c r="G1" s="69"/>
      <c r="H1" s="69"/>
      <c r="I1" s="69"/>
      <c r="J1" s="69"/>
      <c r="K1" s="69"/>
      <c r="L1" s="69"/>
      <c r="M1" s="69"/>
      <c r="N1" s="69"/>
      <c r="O1" s="69"/>
      <c r="P1" s="115"/>
      <c r="Q1" s="115"/>
      <c r="R1" s="115"/>
      <c r="S1" s="115"/>
      <c r="T1" s="115"/>
      <c r="U1" s="115"/>
      <c r="V1" s="115"/>
      <c r="W1" s="115"/>
      <c r="X1" s="115"/>
      <c r="Y1" s="115"/>
    </row>
    <row r="2" spans="1:25" ht="20.100000000000001" customHeight="1" x14ac:dyDescent="0.3">
      <c r="A2" s="69"/>
      <c r="B2" s="40"/>
      <c r="C2" s="217"/>
      <c r="D2" s="158"/>
      <c r="E2" s="51" t="s">
        <v>0</v>
      </c>
      <c r="F2" s="215" t="s">
        <v>1</v>
      </c>
      <c r="G2" s="158"/>
      <c r="H2" s="158"/>
      <c r="I2" s="158"/>
      <c r="J2" s="158"/>
      <c r="K2" s="158"/>
      <c r="L2" s="55" t="s">
        <v>2</v>
      </c>
      <c r="M2" s="55"/>
      <c r="N2" s="52" t="s">
        <v>3</v>
      </c>
      <c r="O2" s="69"/>
      <c r="P2" s="116"/>
      <c r="Q2" s="116"/>
      <c r="R2" s="116"/>
      <c r="S2" s="116"/>
      <c r="T2" s="116"/>
      <c r="U2" s="116"/>
      <c r="V2" s="116"/>
      <c r="W2" s="116"/>
      <c r="X2" s="116"/>
      <c r="Y2" s="116"/>
    </row>
    <row r="3" spans="1:25" ht="20.100000000000001" customHeight="1" x14ac:dyDescent="0.3">
      <c r="A3" s="69"/>
      <c r="B3" s="41"/>
      <c r="C3" s="163" t="s">
        <v>4</v>
      </c>
      <c r="D3" s="158"/>
      <c r="E3" s="50" t="s">
        <v>5</v>
      </c>
      <c r="F3" s="157" t="s">
        <v>6</v>
      </c>
      <c r="G3" s="158"/>
      <c r="H3" s="158"/>
      <c r="I3" s="158"/>
      <c r="J3" s="158"/>
      <c r="K3" s="159"/>
      <c r="L3" s="188">
        <f>L46/10</f>
        <v>6.2333333333333334</v>
      </c>
      <c r="M3" s="198"/>
      <c r="N3" s="190" t="str">
        <f>IF(L3&gt;=5.5,"PASS",IF(L3&gt;0,"FAIL","M/O"))</f>
        <v>PASS</v>
      </c>
      <c r="O3" s="69"/>
      <c r="P3" s="115"/>
      <c r="Q3" s="115"/>
      <c r="R3" s="115"/>
      <c r="S3" s="115"/>
      <c r="T3" s="115"/>
      <c r="U3" s="115"/>
      <c r="V3" s="115"/>
      <c r="W3" s="115"/>
      <c r="X3" s="115"/>
      <c r="Y3" s="115"/>
    </row>
    <row r="4" spans="1:25" ht="20.100000000000001" customHeight="1" x14ac:dyDescent="0.3">
      <c r="A4" s="69"/>
      <c r="B4" s="41"/>
      <c r="C4" s="163" t="s">
        <v>7</v>
      </c>
      <c r="D4" s="158"/>
      <c r="E4" s="50" t="s">
        <v>8</v>
      </c>
      <c r="F4" s="160"/>
      <c r="G4" s="158"/>
      <c r="H4" s="158"/>
      <c r="I4" s="158"/>
      <c r="J4" s="158"/>
      <c r="K4" s="159"/>
      <c r="L4" s="158"/>
      <c r="M4" s="199"/>
      <c r="N4" s="191"/>
      <c r="O4" s="69"/>
      <c r="P4" s="115"/>
      <c r="Q4" s="115"/>
      <c r="R4" s="115"/>
      <c r="S4" s="115"/>
      <c r="T4" s="115"/>
      <c r="U4" s="115"/>
      <c r="V4" s="115"/>
      <c r="W4" s="115"/>
      <c r="X4" s="115"/>
      <c r="Y4" s="115"/>
    </row>
    <row r="5" spans="1:25" ht="20.100000000000001" customHeight="1" x14ac:dyDescent="0.3">
      <c r="A5" s="69"/>
      <c r="B5" s="41"/>
      <c r="C5" s="163" t="s">
        <v>9</v>
      </c>
      <c r="D5" s="158"/>
      <c r="E5" s="49" t="s">
        <v>10</v>
      </c>
      <c r="F5" s="160"/>
      <c r="G5" s="158"/>
      <c r="H5" s="158"/>
      <c r="I5" s="158"/>
      <c r="J5" s="158"/>
      <c r="K5" s="159"/>
      <c r="L5" s="158"/>
      <c r="M5" s="199"/>
      <c r="N5" s="191"/>
      <c r="O5" s="69"/>
      <c r="P5" s="115"/>
      <c r="Q5" s="115"/>
      <c r="R5" s="115"/>
      <c r="S5" s="115"/>
      <c r="T5" s="115"/>
      <c r="U5" s="115"/>
      <c r="V5" s="115"/>
      <c r="W5" s="115"/>
      <c r="X5" s="115"/>
      <c r="Y5" s="115"/>
    </row>
    <row r="6" spans="1:25" ht="20.100000000000001" customHeight="1" x14ac:dyDescent="0.3">
      <c r="A6" s="69"/>
      <c r="B6" s="41"/>
      <c r="C6" s="163" t="s">
        <v>11</v>
      </c>
      <c r="D6" s="158"/>
      <c r="E6" s="49" t="s">
        <v>12</v>
      </c>
      <c r="F6" s="160"/>
      <c r="G6" s="158"/>
      <c r="H6" s="158"/>
      <c r="I6" s="158"/>
      <c r="J6" s="158"/>
      <c r="K6" s="159"/>
      <c r="L6" s="158"/>
      <c r="M6" s="199"/>
      <c r="N6" s="191"/>
      <c r="O6" s="69"/>
      <c r="P6" s="115"/>
      <c r="Q6" s="115"/>
      <c r="R6" s="115"/>
      <c r="S6" s="115"/>
      <c r="T6" s="115"/>
      <c r="U6" s="115"/>
      <c r="V6" s="115"/>
      <c r="W6" s="115"/>
      <c r="X6" s="115"/>
      <c r="Y6" s="115"/>
    </row>
    <row r="7" spans="1:25" ht="20.100000000000001" customHeight="1" x14ac:dyDescent="0.3">
      <c r="A7" s="69"/>
      <c r="B7" s="41"/>
      <c r="C7" s="163" t="s">
        <v>13</v>
      </c>
      <c r="D7" s="158"/>
      <c r="E7" s="49" t="s">
        <v>14</v>
      </c>
      <c r="F7" s="160"/>
      <c r="G7" s="158"/>
      <c r="H7" s="158"/>
      <c r="I7" s="158"/>
      <c r="J7" s="158"/>
      <c r="K7" s="159"/>
      <c r="L7" s="189"/>
      <c r="M7" s="199"/>
      <c r="N7" s="192"/>
      <c r="O7" s="69"/>
      <c r="P7" s="115"/>
      <c r="Q7" s="115"/>
      <c r="R7" s="115"/>
      <c r="S7" s="115"/>
      <c r="T7" s="115"/>
      <c r="U7" s="115"/>
      <c r="V7" s="115"/>
      <c r="W7" s="115"/>
      <c r="X7" s="115"/>
      <c r="Y7" s="115"/>
    </row>
    <row r="8" spans="1:25" ht="20.100000000000001" customHeight="1" x14ac:dyDescent="0.3">
      <c r="A8" s="69"/>
      <c r="B8" s="39"/>
      <c r="C8" s="39"/>
      <c r="D8" s="39"/>
      <c r="E8" s="39"/>
      <c r="F8" s="39"/>
      <c r="G8" s="39"/>
      <c r="H8" s="39"/>
      <c r="I8" s="39"/>
      <c r="J8" s="39"/>
      <c r="K8" s="39"/>
      <c r="L8" s="39"/>
      <c r="M8" s="39"/>
      <c r="N8" s="39"/>
      <c r="O8" s="69"/>
      <c r="P8" s="115"/>
      <c r="Q8" s="115"/>
      <c r="R8" s="115"/>
      <c r="S8" s="115"/>
      <c r="T8" s="115"/>
      <c r="U8" s="115"/>
      <c r="V8" s="115"/>
      <c r="W8" s="115"/>
      <c r="X8" s="115"/>
      <c r="Y8" s="115"/>
    </row>
    <row r="9" spans="1:25" ht="15.75" customHeight="1" x14ac:dyDescent="0.3">
      <c r="A9" s="69"/>
      <c r="B9" s="69"/>
      <c r="C9" s="69"/>
      <c r="D9" s="69"/>
      <c r="E9" s="69"/>
      <c r="F9" s="69"/>
      <c r="G9" s="69"/>
      <c r="H9" s="69"/>
      <c r="I9" s="69"/>
      <c r="J9" s="69"/>
      <c r="K9" s="69"/>
      <c r="L9" s="69"/>
      <c r="M9" s="69"/>
      <c r="N9" s="69"/>
      <c r="O9" s="69"/>
      <c r="P9" s="115"/>
      <c r="Q9" s="115"/>
      <c r="R9" s="115"/>
      <c r="S9" s="115"/>
      <c r="T9" s="115"/>
      <c r="U9" s="115"/>
      <c r="V9" s="115"/>
      <c r="W9" s="115"/>
      <c r="X9" s="115"/>
      <c r="Y9" s="115"/>
    </row>
    <row r="10" spans="1:25" ht="24.9" customHeight="1" x14ac:dyDescent="0.3">
      <c r="A10" s="69"/>
      <c r="B10" s="39"/>
      <c r="C10" s="166" t="s">
        <v>15</v>
      </c>
      <c r="D10" s="158"/>
      <c r="E10" s="158"/>
      <c r="F10" s="158"/>
      <c r="G10" s="158"/>
      <c r="H10" s="158"/>
      <c r="I10" s="158"/>
      <c r="J10" s="158"/>
      <c r="K10" s="158"/>
      <c r="L10" s="158"/>
      <c r="M10" s="158"/>
      <c r="N10" s="39"/>
      <c r="O10" s="69"/>
      <c r="P10" s="115"/>
      <c r="Q10" s="115"/>
      <c r="R10" s="115"/>
      <c r="S10" s="115"/>
      <c r="T10" s="115"/>
      <c r="U10" s="115"/>
      <c r="V10" s="115"/>
      <c r="W10" s="115"/>
      <c r="X10" s="115"/>
      <c r="Y10" s="115"/>
    </row>
    <row r="11" spans="1:25" ht="15.75" customHeight="1" x14ac:dyDescent="0.3">
      <c r="A11" s="69"/>
      <c r="B11" s="39"/>
      <c r="C11" s="42"/>
      <c r="D11" s="43" t="s">
        <v>16</v>
      </c>
      <c r="E11" s="44"/>
      <c r="F11" s="42" t="s">
        <v>17</v>
      </c>
      <c r="G11" s="201" t="s">
        <v>18</v>
      </c>
      <c r="H11" s="158"/>
      <c r="I11" s="158"/>
      <c r="J11" s="158"/>
      <c r="K11" s="158"/>
      <c r="L11" s="42" t="s">
        <v>19</v>
      </c>
      <c r="M11" s="42" t="s">
        <v>20</v>
      </c>
      <c r="N11" s="42" t="s">
        <v>21</v>
      </c>
      <c r="O11" s="69"/>
      <c r="P11" s="115"/>
      <c r="Q11" s="115"/>
      <c r="R11" s="115"/>
      <c r="S11" s="115"/>
      <c r="T11" s="115"/>
      <c r="U11" s="115"/>
      <c r="V11" s="115"/>
      <c r="W11" s="115"/>
      <c r="X11" s="115"/>
      <c r="Y11" s="115"/>
    </row>
    <row r="12" spans="1:25" ht="15.75" customHeight="1" x14ac:dyDescent="0.3">
      <c r="A12" s="69"/>
      <c r="B12" s="39"/>
      <c r="C12" s="42"/>
      <c r="D12" s="43"/>
      <c r="E12" s="44"/>
      <c r="F12" s="42"/>
      <c r="G12" s="42"/>
      <c r="H12" s="42"/>
      <c r="I12" s="42"/>
      <c r="J12" s="42"/>
      <c r="K12" s="42"/>
      <c r="L12" s="42"/>
      <c r="M12" s="42"/>
      <c r="N12" s="42"/>
      <c r="O12" s="69"/>
      <c r="P12" s="115"/>
      <c r="Q12" s="115"/>
      <c r="R12" s="115"/>
      <c r="S12" s="115"/>
      <c r="T12" s="115"/>
      <c r="U12" s="115"/>
      <c r="V12" s="115"/>
      <c r="W12" s="115"/>
      <c r="X12" s="115"/>
      <c r="Y12" s="115"/>
    </row>
    <row r="13" spans="1:25" ht="48" customHeight="1" x14ac:dyDescent="0.3">
      <c r="A13" s="69"/>
      <c r="B13" s="39"/>
      <c r="C13" s="72" t="s">
        <v>22</v>
      </c>
      <c r="D13" s="170" t="s">
        <v>23</v>
      </c>
      <c r="E13" s="158"/>
      <c r="F13" s="158"/>
      <c r="G13" s="158"/>
      <c r="H13" s="158"/>
      <c r="I13" s="158"/>
      <c r="J13" s="158"/>
      <c r="K13" s="158"/>
      <c r="L13" s="45"/>
      <c r="M13" s="45"/>
      <c r="N13" s="46"/>
      <c r="O13" s="69"/>
      <c r="P13" s="115"/>
      <c r="Q13" s="115"/>
      <c r="R13" s="115"/>
      <c r="S13" s="115"/>
      <c r="T13" s="115"/>
      <c r="U13" s="115"/>
      <c r="V13" s="115"/>
      <c r="W13" s="115"/>
      <c r="X13" s="115"/>
      <c r="Y13" s="115"/>
    </row>
    <row r="14" spans="1:25" ht="20.100000000000001" customHeight="1" x14ac:dyDescent="0.3">
      <c r="A14" s="69"/>
      <c r="B14" s="39"/>
      <c r="C14" s="72"/>
      <c r="D14" s="164"/>
      <c r="E14" s="162"/>
      <c r="F14" s="73" t="s">
        <v>24</v>
      </c>
      <c r="G14" s="184" t="s">
        <v>25</v>
      </c>
      <c r="H14" s="185"/>
      <c r="I14" s="185"/>
      <c r="J14" s="185"/>
      <c r="K14" s="185"/>
      <c r="L14" s="76"/>
      <c r="M14" s="76"/>
      <c r="N14" s="77"/>
      <c r="O14" s="69"/>
      <c r="P14" s="115"/>
      <c r="Q14" s="115"/>
      <c r="R14" s="115"/>
      <c r="S14" s="115"/>
      <c r="T14" s="115"/>
      <c r="U14" s="115"/>
      <c r="V14" s="115"/>
      <c r="W14" s="115"/>
      <c r="X14" s="115"/>
      <c r="Y14" s="115"/>
    </row>
    <row r="15" spans="1:25" ht="141.75" customHeight="1" x14ac:dyDescent="0.3">
      <c r="A15" s="69"/>
      <c r="B15" s="39"/>
      <c r="C15" s="71"/>
      <c r="D15" s="194" t="s">
        <v>26</v>
      </c>
      <c r="E15" s="195"/>
      <c r="F15" s="91" t="s">
        <v>27</v>
      </c>
      <c r="G15" s="171" t="s">
        <v>28</v>
      </c>
      <c r="H15" s="172"/>
      <c r="I15" s="172"/>
      <c r="J15" s="172"/>
      <c r="K15" s="173"/>
      <c r="L15" s="63">
        <f>IF(F16="Yes",SUM(G16:K16)*2,0)</f>
        <v>8</v>
      </c>
      <c r="M15" s="205" t="s">
        <v>29</v>
      </c>
      <c r="N15" s="82">
        <v>20</v>
      </c>
      <c r="O15" s="69"/>
      <c r="P15" s="115"/>
      <c r="Q15" s="115"/>
      <c r="R15" s="115"/>
      <c r="S15" s="115"/>
      <c r="T15" s="115"/>
      <c r="U15" s="115"/>
      <c r="V15" s="115"/>
      <c r="W15" s="115"/>
      <c r="X15" s="115"/>
      <c r="Y15" s="115"/>
    </row>
    <row r="16" spans="1:25" ht="24.9" customHeight="1" x14ac:dyDescent="0.3">
      <c r="A16" s="69"/>
      <c r="B16" s="39"/>
      <c r="C16" s="70"/>
      <c r="D16" s="216" t="s">
        <v>30</v>
      </c>
      <c r="E16" s="162"/>
      <c r="F16" s="88" t="s">
        <v>31</v>
      </c>
      <c r="G16" s="178">
        <v>4</v>
      </c>
      <c r="H16" s="179"/>
      <c r="I16" s="179"/>
      <c r="J16" s="179"/>
      <c r="K16" s="180"/>
      <c r="L16" s="81"/>
      <c r="M16" s="192"/>
      <c r="N16" s="83"/>
      <c r="O16" s="69"/>
      <c r="P16" s="115">
        <f>SUM(G16:K16)</f>
        <v>4</v>
      </c>
      <c r="Q16" s="115"/>
      <c r="R16" s="115"/>
      <c r="S16" s="115"/>
      <c r="T16" s="115"/>
      <c r="U16" s="115"/>
      <c r="V16" s="115"/>
      <c r="W16" s="115"/>
      <c r="X16" s="115"/>
      <c r="Y16" s="115"/>
    </row>
    <row r="17" spans="1:15" ht="48" customHeight="1" x14ac:dyDescent="0.3">
      <c r="A17" s="69"/>
      <c r="B17" s="39"/>
      <c r="C17" s="72" t="s">
        <v>22</v>
      </c>
      <c r="D17" s="170" t="s">
        <v>23</v>
      </c>
      <c r="E17" s="158"/>
      <c r="F17" s="158"/>
      <c r="G17" s="158"/>
      <c r="H17" s="158"/>
      <c r="I17" s="158"/>
      <c r="J17" s="158"/>
      <c r="K17" s="158"/>
      <c r="L17" s="66"/>
      <c r="M17" s="67"/>
      <c r="N17" s="68"/>
      <c r="O17" s="69"/>
    </row>
    <row r="18" spans="1:15" ht="20.100000000000001" customHeight="1" x14ac:dyDescent="0.3">
      <c r="A18" s="69"/>
      <c r="B18" s="39"/>
      <c r="C18" s="72"/>
      <c r="D18" s="164"/>
      <c r="E18" s="162"/>
      <c r="F18" s="73" t="s">
        <v>24</v>
      </c>
      <c r="G18" s="184" t="s">
        <v>25</v>
      </c>
      <c r="H18" s="185"/>
      <c r="I18" s="185"/>
      <c r="J18" s="185"/>
      <c r="K18" s="185"/>
      <c r="L18" s="78"/>
      <c r="M18" s="79"/>
      <c r="N18" s="80"/>
      <c r="O18" s="69"/>
    </row>
    <row r="19" spans="1:15" ht="141.75" customHeight="1" x14ac:dyDescent="0.3">
      <c r="A19" s="69"/>
      <c r="B19" s="39"/>
      <c r="C19" s="71"/>
      <c r="D19" s="194" t="s">
        <v>32</v>
      </c>
      <c r="E19" s="195"/>
      <c r="F19" s="91" t="s">
        <v>33</v>
      </c>
      <c r="G19" s="207" t="s">
        <v>34</v>
      </c>
      <c r="H19" s="172"/>
      <c r="I19" s="172"/>
      <c r="J19" s="172"/>
      <c r="K19" s="172"/>
      <c r="L19" s="63">
        <f>IF(F20="Yes",SUM(G20:K20)*2,0)</f>
        <v>13.333333333333334</v>
      </c>
      <c r="M19" s="79"/>
      <c r="N19" s="80">
        <v>20</v>
      </c>
      <c r="O19" s="69"/>
    </row>
    <row r="20" spans="1:15" ht="24.9" customHeight="1" x14ac:dyDescent="0.3">
      <c r="A20" s="69"/>
      <c r="B20" s="39"/>
      <c r="C20" s="70"/>
      <c r="D20" s="161" t="s">
        <v>30</v>
      </c>
      <c r="E20" s="162"/>
      <c r="F20" s="88" t="s">
        <v>31</v>
      </c>
      <c r="G20" s="178">
        <v>6.666666666666667</v>
      </c>
      <c r="H20" s="179"/>
      <c r="I20" s="179"/>
      <c r="J20" s="179"/>
      <c r="K20" s="180"/>
      <c r="L20" s="66"/>
      <c r="M20" s="67"/>
      <c r="N20" s="68"/>
      <c r="O20" s="69"/>
    </row>
    <row r="21" spans="1:15" ht="48" customHeight="1" x14ac:dyDescent="0.3">
      <c r="A21" s="69"/>
      <c r="B21" s="39"/>
      <c r="C21" s="72" t="s">
        <v>35</v>
      </c>
      <c r="D21" s="183" t="s">
        <v>36</v>
      </c>
      <c r="E21" s="158"/>
      <c r="F21" s="158"/>
      <c r="G21" s="158"/>
      <c r="H21" s="158"/>
      <c r="I21" s="158"/>
      <c r="J21" s="158"/>
      <c r="K21" s="158"/>
      <c r="L21" s="78"/>
      <c r="M21" s="79"/>
      <c r="N21" s="80"/>
      <c r="O21" s="69"/>
    </row>
    <row r="22" spans="1:15" ht="24.9" customHeight="1" x14ac:dyDescent="0.3">
      <c r="A22" s="69"/>
      <c r="B22" s="39"/>
      <c r="C22" s="72"/>
      <c r="D22" s="164"/>
      <c r="E22" s="162"/>
      <c r="F22" s="97" t="s">
        <v>24</v>
      </c>
      <c r="G22" s="181" t="s">
        <v>37</v>
      </c>
      <c r="H22" s="182"/>
      <c r="I22" s="98" t="s">
        <v>38</v>
      </c>
      <c r="J22" s="75" t="s">
        <v>39</v>
      </c>
      <c r="K22" s="74" t="s">
        <v>40</v>
      </c>
      <c r="L22" s="78"/>
      <c r="M22" s="79"/>
      <c r="N22" s="80"/>
      <c r="O22" s="69"/>
    </row>
    <row r="23" spans="1:15" ht="141.75" customHeight="1" x14ac:dyDescent="0.3">
      <c r="A23" s="69"/>
      <c r="B23" s="39"/>
      <c r="C23" s="70"/>
      <c r="D23" s="194" t="s">
        <v>41</v>
      </c>
      <c r="E23" s="195"/>
      <c r="F23" s="99" t="s">
        <v>42</v>
      </c>
      <c r="G23" s="165" t="s">
        <v>43</v>
      </c>
      <c r="H23" s="158"/>
      <c r="I23" s="100" t="s">
        <v>44</v>
      </c>
      <c r="J23" s="101" t="s">
        <v>45</v>
      </c>
      <c r="K23" s="102" t="s">
        <v>46</v>
      </c>
      <c r="L23" s="78">
        <f>IF(F25="Yes",SUM(G25:K25),0)</f>
        <v>7</v>
      </c>
      <c r="M23" s="79" t="s">
        <v>29</v>
      </c>
      <c r="N23" s="80">
        <v>10</v>
      </c>
      <c r="O23" s="69"/>
    </row>
    <row r="24" spans="1:15" ht="141.75" customHeight="1" x14ac:dyDescent="0.3">
      <c r="A24" s="69"/>
      <c r="B24" s="39"/>
      <c r="C24" s="70"/>
      <c r="D24" s="175" t="s">
        <v>47</v>
      </c>
      <c r="E24" s="162"/>
      <c r="F24" s="106" t="s">
        <v>48</v>
      </c>
      <c r="G24" s="200" t="s">
        <v>49</v>
      </c>
      <c r="H24" s="162"/>
      <c r="I24" s="107" t="s">
        <v>50</v>
      </c>
      <c r="J24" s="108" t="s">
        <v>51</v>
      </c>
      <c r="K24" s="109" t="s">
        <v>52</v>
      </c>
      <c r="L24" s="78"/>
      <c r="M24" s="79"/>
      <c r="N24" s="80"/>
      <c r="O24" s="69"/>
    </row>
    <row r="25" spans="1:15" ht="24.9" customHeight="1" x14ac:dyDescent="0.3">
      <c r="A25" s="69"/>
      <c r="B25" s="39"/>
      <c r="C25" s="70"/>
      <c r="D25" s="161" t="s">
        <v>30</v>
      </c>
      <c r="E25" s="162"/>
      <c r="F25" s="103" t="s">
        <v>31</v>
      </c>
      <c r="G25" s="196">
        <v>2</v>
      </c>
      <c r="H25" s="197"/>
      <c r="I25" s="104">
        <v>2</v>
      </c>
      <c r="J25" s="104">
        <v>2</v>
      </c>
      <c r="K25" s="105">
        <v>1</v>
      </c>
      <c r="L25" s="78"/>
      <c r="M25" s="79"/>
      <c r="N25" s="80"/>
      <c r="O25" s="69"/>
    </row>
    <row r="26" spans="1:15" ht="46.5" customHeight="1" x14ac:dyDescent="0.3">
      <c r="A26" s="69"/>
      <c r="B26" s="39"/>
      <c r="C26" s="72" t="s">
        <v>53</v>
      </c>
      <c r="D26" s="208" t="s">
        <v>54</v>
      </c>
      <c r="E26" s="158"/>
      <c r="F26" s="158"/>
      <c r="G26" s="158"/>
      <c r="H26" s="158"/>
      <c r="I26" s="158"/>
      <c r="J26" s="158"/>
      <c r="K26" s="158"/>
      <c r="L26" s="56"/>
      <c r="M26" s="58"/>
      <c r="N26" s="57"/>
      <c r="O26" s="69"/>
    </row>
    <row r="27" spans="1:15" ht="20.100000000000001" customHeight="1" x14ac:dyDescent="0.3">
      <c r="A27" s="69"/>
      <c r="B27" s="39"/>
      <c r="C27" s="72"/>
      <c r="D27" s="164"/>
      <c r="E27" s="162"/>
      <c r="F27" s="75" t="s">
        <v>24</v>
      </c>
      <c r="G27" s="75" t="s">
        <v>55</v>
      </c>
      <c r="H27" s="75" t="s">
        <v>38</v>
      </c>
      <c r="I27" s="75" t="s">
        <v>39</v>
      </c>
      <c r="J27" s="75" t="s">
        <v>40</v>
      </c>
      <c r="K27" s="75" t="s">
        <v>56</v>
      </c>
      <c r="L27" s="62"/>
      <c r="M27" s="65"/>
      <c r="N27" s="60"/>
      <c r="O27" s="69"/>
    </row>
    <row r="28" spans="1:15" ht="133.5" customHeight="1" x14ac:dyDescent="0.3">
      <c r="A28" s="69"/>
      <c r="B28" s="39"/>
      <c r="C28" s="70"/>
      <c r="D28" s="194" t="s">
        <v>57</v>
      </c>
      <c r="E28" s="195"/>
      <c r="F28" s="91" t="s">
        <v>58</v>
      </c>
      <c r="G28" s="92" t="s">
        <v>59</v>
      </c>
      <c r="H28" s="93" t="s">
        <v>60</v>
      </c>
      <c r="I28" s="94" t="s">
        <v>61</v>
      </c>
      <c r="J28" s="95" t="s">
        <v>62</v>
      </c>
      <c r="K28" s="96" t="s">
        <v>63</v>
      </c>
      <c r="L28" s="78">
        <f>IF(F30="Yes",SUM(G30:K30),0)</f>
        <v>6</v>
      </c>
      <c r="M28" s="84" t="s">
        <v>29</v>
      </c>
      <c r="N28" s="77">
        <v>10</v>
      </c>
      <c r="O28" s="69"/>
    </row>
    <row r="29" spans="1:15" ht="133.5" customHeight="1" x14ac:dyDescent="0.3">
      <c r="A29" s="69"/>
      <c r="B29" s="39"/>
      <c r="C29" s="70"/>
      <c r="D29" s="193" t="s">
        <v>47</v>
      </c>
      <c r="E29" s="162"/>
      <c r="F29" s="91" t="s">
        <v>48</v>
      </c>
      <c r="G29" s="92" t="s">
        <v>64</v>
      </c>
      <c r="H29" s="93" t="s">
        <v>65</v>
      </c>
      <c r="I29" s="94" t="s">
        <v>66</v>
      </c>
      <c r="J29" s="95" t="s">
        <v>67</v>
      </c>
      <c r="K29" s="96" t="s">
        <v>68</v>
      </c>
      <c r="L29" s="78"/>
      <c r="M29" s="84"/>
      <c r="N29" s="77"/>
      <c r="O29" s="69"/>
    </row>
    <row r="30" spans="1:15" ht="24.9" customHeight="1" x14ac:dyDescent="0.3">
      <c r="A30" s="69"/>
      <c r="B30" s="39"/>
      <c r="C30" s="70"/>
      <c r="D30" s="161" t="s">
        <v>30</v>
      </c>
      <c r="E30" s="162"/>
      <c r="F30" s="88" t="s">
        <v>31</v>
      </c>
      <c r="G30" s="90">
        <v>1</v>
      </c>
      <c r="H30" s="90">
        <v>2</v>
      </c>
      <c r="I30" s="90">
        <v>1</v>
      </c>
      <c r="J30" s="90">
        <v>1</v>
      </c>
      <c r="K30" s="89">
        <v>1</v>
      </c>
      <c r="L30" s="85"/>
      <c r="M30" s="86"/>
      <c r="N30" s="87"/>
      <c r="O30" s="69"/>
    </row>
    <row r="31" spans="1:15" ht="48" customHeight="1" x14ac:dyDescent="0.3">
      <c r="A31" s="69"/>
      <c r="B31" s="39"/>
      <c r="C31" s="72" t="s">
        <v>69</v>
      </c>
      <c r="D31" s="214" t="s">
        <v>70</v>
      </c>
      <c r="E31" s="158"/>
      <c r="F31" s="158"/>
      <c r="G31" s="158"/>
      <c r="H31" s="158"/>
      <c r="I31" s="158"/>
      <c r="J31" s="158"/>
      <c r="K31" s="158"/>
      <c r="L31" s="63"/>
      <c r="M31" s="58"/>
      <c r="N31" s="61"/>
      <c r="O31" s="69"/>
    </row>
    <row r="32" spans="1:15" ht="20.100000000000001" customHeight="1" x14ac:dyDescent="0.3">
      <c r="A32" s="69"/>
      <c r="B32" s="39"/>
      <c r="C32" s="72"/>
      <c r="D32" s="164"/>
      <c r="E32" s="162"/>
      <c r="F32" s="75" t="s">
        <v>24</v>
      </c>
      <c r="G32" s="75" t="s">
        <v>71</v>
      </c>
      <c r="H32" s="75" t="s">
        <v>72</v>
      </c>
      <c r="I32" s="75" t="s">
        <v>73</v>
      </c>
      <c r="J32" s="75" t="s">
        <v>40</v>
      </c>
      <c r="K32" s="75" t="s">
        <v>56</v>
      </c>
      <c r="L32" s="62"/>
      <c r="M32" s="65"/>
      <c r="N32" s="60"/>
      <c r="O32" s="69"/>
    </row>
    <row r="33" spans="1:16" ht="183" customHeight="1" x14ac:dyDescent="0.3">
      <c r="A33" s="69"/>
      <c r="B33" s="39"/>
      <c r="C33" s="70"/>
      <c r="D33" s="177" t="s">
        <v>74</v>
      </c>
      <c r="E33" s="158"/>
      <c r="F33" s="91" t="s">
        <v>75</v>
      </c>
      <c r="G33" s="92" t="s">
        <v>76</v>
      </c>
      <c r="H33" s="93" t="s">
        <v>77</v>
      </c>
      <c r="I33" s="94" t="s">
        <v>78</v>
      </c>
      <c r="J33" s="95" t="s">
        <v>79</v>
      </c>
      <c r="K33" s="96" t="s">
        <v>80</v>
      </c>
      <c r="L33" s="78">
        <f>IF(F35="Yes",SUM(G35:K35),0)</f>
        <v>14</v>
      </c>
      <c r="M33" s="84" t="s">
        <v>29</v>
      </c>
      <c r="N33" s="77">
        <v>15</v>
      </c>
      <c r="O33" s="69"/>
      <c r="P33" s="115"/>
    </row>
    <row r="34" spans="1:16" ht="131.25" customHeight="1" x14ac:dyDescent="0.3">
      <c r="A34" s="69"/>
      <c r="B34" s="39"/>
      <c r="C34" s="70"/>
      <c r="D34" s="193" t="s">
        <v>47</v>
      </c>
      <c r="E34" s="162"/>
      <c r="F34" s="91" t="s">
        <v>81</v>
      </c>
      <c r="G34" s="92" t="s">
        <v>82</v>
      </c>
      <c r="H34" s="93" t="s">
        <v>82</v>
      </c>
      <c r="I34" s="94" t="s">
        <v>82</v>
      </c>
      <c r="J34" s="95" t="s">
        <v>82</v>
      </c>
      <c r="K34" s="96" t="s">
        <v>83</v>
      </c>
      <c r="L34" s="78"/>
      <c r="M34" s="84"/>
      <c r="N34" s="77"/>
      <c r="O34" s="69"/>
      <c r="P34" s="115"/>
    </row>
    <row r="35" spans="1:16" ht="24.9" customHeight="1" x14ac:dyDescent="0.3">
      <c r="A35" s="69"/>
      <c r="B35" s="39"/>
      <c r="C35" s="70"/>
      <c r="D35" s="161" t="s">
        <v>30</v>
      </c>
      <c r="E35" s="162"/>
      <c r="F35" s="88" t="s">
        <v>31</v>
      </c>
      <c r="G35" s="90">
        <v>3</v>
      </c>
      <c r="H35" s="90">
        <v>3</v>
      </c>
      <c r="I35" s="90">
        <v>5</v>
      </c>
      <c r="J35" s="90">
        <v>2</v>
      </c>
      <c r="K35" s="89">
        <v>1</v>
      </c>
      <c r="L35" s="78"/>
      <c r="M35" s="84"/>
      <c r="N35" s="77"/>
      <c r="O35" s="69"/>
      <c r="P35" s="115"/>
    </row>
    <row r="36" spans="1:16" ht="48" customHeight="1" x14ac:dyDescent="0.3">
      <c r="A36" s="69"/>
      <c r="B36" s="39"/>
      <c r="C36" s="72" t="s">
        <v>84</v>
      </c>
      <c r="D36" s="168" t="s">
        <v>85</v>
      </c>
      <c r="E36" s="158"/>
      <c r="F36" s="158"/>
      <c r="G36" s="158"/>
      <c r="H36" s="158"/>
      <c r="I36" s="158"/>
      <c r="J36" s="158"/>
      <c r="K36" s="158"/>
      <c r="L36" s="63"/>
      <c r="M36" s="58"/>
      <c r="N36" s="61"/>
      <c r="O36" s="69"/>
      <c r="P36" s="115"/>
    </row>
    <row r="37" spans="1:16" ht="20.100000000000001" customHeight="1" x14ac:dyDescent="0.3">
      <c r="A37" s="69"/>
      <c r="B37" s="39"/>
      <c r="C37" s="72"/>
      <c r="D37" s="164"/>
      <c r="E37" s="162"/>
      <c r="F37" s="75" t="s">
        <v>24</v>
      </c>
      <c r="G37" s="75" t="s">
        <v>71</v>
      </c>
      <c r="H37" s="75" t="s">
        <v>72</v>
      </c>
      <c r="I37" s="75" t="s">
        <v>86</v>
      </c>
      <c r="J37" s="75" t="s">
        <v>87</v>
      </c>
      <c r="K37" s="75" t="s">
        <v>88</v>
      </c>
      <c r="L37" s="56"/>
      <c r="M37" s="58"/>
      <c r="N37" s="57"/>
      <c r="O37" s="69"/>
      <c r="P37" s="115"/>
    </row>
    <row r="38" spans="1:16" ht="162.75" customHeight="1" x14ac:dyDescent="0.3">
      <c r="A38" s="69"/>
      <c r="B38" s="47"/>
      <c r="C38" s="70"/>
      <c r="D38" s="177" t="s">
        <v>89</v>
      </c>
      <c r="E38" s="158"/>
      <c r="F38" s="91" t="s">
        <v>90</v>
      </c>
      <c r="G38" s="92" t="s">
        <v>91</v>
      </c>
      <c r="H38" s="93" t="s">
        <v>92</v>
      </c>
      <c r="I38" s="94" t="s">
        <v>93</v>
      </c>
      <c r="J38" s="95" t="s">
        <v>94</v>
      </c>
      <c r="K38" s="96" t="s">
        <v>95</v>
      </c>
      <c r="L38" s="56">
        <f>IF(F40="Yes",SUM(G40:K40),0)</f>
        <v>7</v>
      </c>
      <c r="M38" s="64" t="s">
        <v>29</v>
      </c>
      <c r="N38" s="57">
        <v>15</v>
      </c>
      <c r="O38" s="69"/>
      <c r="P38" s="117"/>
    </row>
    <row r="39" spans="1:16" ht="162.75" customHeight="1" x14ac:dyDescent="0.3">
      <c r="A39" s="69"/>
      <c r="B39" s="47"/>
      <c r="C39" s="70"/>
      <c r="D39" s="193" t="s">
        <v>47</v>
      </c>
      <c r="E39" s="162"/>
      <c r="F39" s="91" t="s">
        <v>96</v>
      </c>
      <c r="G39" s="92" t="s">
        <v>97</v>
      </c>
      <c r="H39" s="93" t="s">
        <v>98</v>
      </c>
      <c r="I39" s="94" t="s">
        <v>99</v>
      </c>
      <c r="J39" s="95" t="s">
        <v>100</v>
      </c>
      <c r="K39" s="96" t="s">
        <v>101</v>
      </c>
      <c r="L39" s="56"/>
      <c r="M39" s="65"/>
      <c r="N39" s="57"/>
      <c r="O39" s="69"/>
      <c r="P39" s="117"/>
    </row>
    <row r="40" spans="1:16" ht="24.9" customHeight="1" x14ac:dyDescent="0.3">
      <c r="A40" s="69"/>
      <c r="B40" s="47"/>
      <c r="C40" s="70"/>
      <c r="D40" s="161" t="s">
        <v>30</v>
      </c>
      <c r="E40" s="162"/>
      <c r="F40" s="88" t="s">
        <v>31</v>
      </c>
      <c r="G40" s="90">
        <v>3</v>
      </c>
      <c r="H40" s="90">
        <v>1</v>
      </c>
      <c r="I40" s="90">
        <v>1</v>
      </c>
      <c r="J40" s="90">
        <v>1</v>
      </c>
      <c r="K40" s="89">
        <v>1</v>
      </c>
      <c r="L40" s="56"/>
      <c r="M40" s="58"/>
      <c r="N40" s="57"/>
      <c r="O40" s="69"/>
      <c r="P40" s="117"/>
    </row>
    <row r="41" spans="1:16" ht="48" customHeight="1" x14ac:dyDescent="0.3">
      <c r="A41" s="69"/>
      <c r="B41" s="47"/>
      <c r="C41" s="72" t="s">
        <v>102</v>
      </c>
      <c r="D41" s="168" t="s">
        <v>103</v>
      </c>
      <c r="E41" s="158"/>
      <c r="F41" s="158"/>
      <c r="G41" s="158"/>
      <c r="H41" s="158"/>
      <c r="I41" s="158"/>
      <c r="J41" s="158"/>
      <c r="K41" s="158"/>
      <c r="L41" s="56"/>
      <c r="M41" s="58"/>
      <c r="N41" s="57"/>
      <c r="O41" s="69"/>
      <c r="P41" s="117"/>
    </row>
    <row r="42" spans="1:16" ht="24.9" customHeight="1" x14ac:dyDescent="0.3">
      <c r="A42" s="69"/>
      <c r="B42" s="47"/>
      <c r="C42" s="72"/>
      <c r="D42" s="164"/>
      <c r="E42" s="162"/>
      <c r="F42" s="75" t="s">
        <v>24</v>
      </c>
      <c r="G42" s="75" t="s">
        <v>55</v>
      </c>
      <c r="H42" s="75" t="s">
        <v>38</v>
      </c>
      <c r="I42" s="75" t="s">
        <v>39</v>
      </c>
      <c r="J42" s="75" t="s">
        <v>40</v>
      </c>
      <c r="K42" s="75" t="s">
        <v>56</v>
      </c>
      <c r="L42" s="56"/>
      <c r="M42" s="58"/>
      <c r="N42" s="57"/>
      <c r="O42" s="69"/>
      <c r="P42" s="117"/>
    </row>
    <row r="43" spans="1:16" ht="132.75" customHeight="1" x14ac:dyDescent="0.3">
      <c r="A43" s="69"/>
      <c r="B43" s="48"/>
      <c r="C43" s="70"/>
      <c r="D43" s="177" t="s">
        <v>104</v>
      </c>
      <c r="E43" s="158"/>
      <c r="F43" s="91" t="s">
        <v>105</v>
      </c>
      <c r="G43" s="92" t="s">
        <v>106</v>
      </c>
      <c r="H43" s="93" t="s">
        <v>107</v>
      </c>
      <c r="I43" s="94" t="s">
        <v>108</v>
      </c>
      <c r="J43" s="95" t="s">
        <v>109</v>
      </c>
      <c r="K43" s="96" t="s">
        <v>110</v>
      </c>
      <c r="L43" s="56">
        <f>IF(F45="Yes",SUM(G45:K45),0)</f>
        <v>7</v>
      </c>
      <c r="M43" s="59" t="s">
        <v>29</v>
      </c>
      <c r="N43" s="57">
        <v>10</v>
      </c>
      <c r="O43" s="69"/>
      <c r="P43" s="118"/>
    </row>
    <row r="44" spans="1:16" ht="132.75" customHeight="1" x14ac:dyDescent="0.3">
      <c r="A44" s="69"/>
      <c r="B44" s="48"/>
      <c r="C44" s="70"/>
      <c r="D44" s="193" t="s">
        <v>47</v>
      </c>
      <c r="E44" s="162"/>
      <c r="F44" s="91" t="s">
        <v>96</v>
      </c>
      <c r="G44" s="92" t="s">
        <v>111</v>
      </c>
      <c r="H44" s="93" t="s">
        <v>112</v>
      </c>
      <c r="I44" s="94" t="s">
        <v>113</v>
      </c>
      <c r="J44" s="95" t="s">
        <v>114</v>
      </c>
      <c r="K44" s="96" t="s">
        <v>115</v>
      </c>
      <c r="L44" s="56"/>
      <c r="M44" s="59"/>
      <c r="N44" s="57"/>
      <c r="O44" s="69"/>
      <c r="P44" s="118"/>
    </row>
    <row r="45" spans="1:16" ht="24.9" customHeight="1" x14ac:dyDescent="0.3">
      <c r="A45" s="69"/>
      <c r="B45" s="48"/>
      <c r="C45" s="70"/>
      <c r="D45" s="161" t="s">
        <v>30</v>
      </c>
      <c r="E45" s="162"/>
      <c r="F45" s="88" t="s">
        <v>31</v>
      </c>
      <c r="G45" s="90">
        <v>2</v>
      </c>
      <c r="H45" s="90">
        <v>1</v>
      </c>
      <c r="I45" s="90">
        <v>1</v>
      </c>
      <c r="J45" s="90">
        <v>1</v>
      </c>
      <c r="K45" s="89">
        <v>2</v>
      </c>
      <c r="L45" s="56"/>
      <c r="M45" s="59"/>
      <c r="N45" s="57"/>
      <c r="O45" s="69"/>
      <c r="P45" s="118"/>
    </row>
    <row r="46" spans="1:16" ht="24.9" customHeight="1" x14ac:dyDescent="0.3">
      <c r="A46" s="69"/>
      <c r="B46" s="39"/>
      <c r="C46" s="115"/>
      <c r="D46" s="53"/>
      <c r="E46" s="53"/>
      <c r="F46" s="54"/>
      <c r="G46" s="54"/>
      <c r="H46" s="54"/>
      <c r="I46" s="54"/>
      <c r="J46" s="54"/>
      <c r="K46" s="210" t="s">
        <v>116</v>
      </c>
      <c r="L46" s="209">
        <f>SUM(L15:L45)</f>
        <v>62.333333333333336</v>
      </c>
      <c r="M46" s="206" t="s">
        <v>29</v>
      </c>
      <c r="N46" s="202">
        <f>SUM(N15:N45)</f>
        <v>100</v>
      </c>
      <c r="O46" s="69"/>
      <c r="P46" s="115"/>
    </row>
    <row r="47" spans="1:16" ht="24.9" customHeight="1" x14ac:dyDescent="0.3">
      <c r="A47" s="69"/>
      <c r="B47" s="39"/>
      <c r="C47" s="115"/>
      <c r="D47" s="53"/>
      <c r="E47" s="53"/>
      <c r="F47" s="54"/>
      <c r="G47" s="54"/>
      <c r="H47" s="54"/>
      <c r="I47" s="54"/>
      <c r="J47" s="54"/>
      <c r="K47" s="211"/>
      <c r="L47" s="158"/>
      <c r="M47" s="158"/>
      <c r="N47" s="158"/>
      <c r="O47" s="69"/>
      <c r="P47" s="115"/>
    </row>
    <row r="48" spans="1:16" ht="15.75" customHeight="1" x14ac:dyDescent="0.3">
      <c r="A48" s="69"/>
      <c r="B48" s="69"/>
      <c r="C48" s="69"/>
      <c r="D48" s="69"/>
      <c r="E48" s="69"/>
      <c r="F48" s="69"/>
      <c r="G48" s="69"/>
      <c r="H48" s="69"/>
      <c r="I48" s="69"/>
      <c r="J48" s="69"/>
      <c r="K48" s="69"/>
      <c r="L48" s="69"/>
      <c r="M48" s="69"/>
      <c r="N48" s="69"/>
      <c r="O48" s="69"/>
      <c r="P48" s="115"/>
    </row>
    <row r="49" spans="1:15" ht="30.75" customHeight="1" x14ac:dyDescent="0.45">
      <c r="A49" s="69"/>
      <c r="B49" s="119"/>
      <c r="C49" s="174" t="s">
        <v>117</v>
      </c>
      <c r="D49" s="158"/>
      <c r="E49" s="158"/>
      <c r="F49" s="120"/>
      <c r="G49" s="120"/>
      <c r="H49" s="120"/>
      <c r="I49" s="120"/>
      <c r="J49" s="120"/>
      <c r="K49" s="120"/>
      <c r="L49" s="120"/>
      <c r="M49" s="121"/>
      <c r="N49" s="122"/>
      <c r="O49" s="69"/>
    </row>
    <row r="50" spans="1:15" ht="15.75" customHeight="1" x14ac:dyDescent="0.3">
      <c r="A50" s="69"/>
      <c r="B50" s="123"/>
      <c r="C50" s="113" t="s">
        <v>118</v>
      </c>
      <c r="D50" s="113" t="s">
        <v>119</v>
      </c>
      <c r="E50" s="213" t="s">
        <v>120</v>
      </c>
      <c r="F50" s="158"/>
      <c r="G50" s="158"/>
      <c r="H50" s="158"/>
      <c r="I50" s="158"/>
      <c r="J50" s="124"/>
      <c r="K50" s="113"/>
      <c r="L50" s="113"/>
      <c r="M50" s="125" t="s">
        <v>121</v>
      </c>
      <c r="N50" s="122"/>
      <c r="O50" s="69"/>
    </row>
    <row r="51" spans="1:15" ht="39.75" customHeight="1" x14ac:dyDescent="0.3">
      <c r="A51" s="69"/>
      <c r="B51" s="119"/>
      <c r="C51" s="126" t="s">
        <v>122</v>
      </c>
      <c r="D51" s="110" t="s">
        <v>123</v>
      </c>
      <c r="E51" s="187" t="s">
        <v>124</v>
      </c>
      <c r="F51" s="158"/>
      <c r="G51" s="158"/>
      <c r="H51" s="158"/>
      <c r="I51" s="158"/>
      <c r="J51" s="158"/>
      <c r="K51" s="158"/>
      <c r="L51" s="110"/>
      <c r="M51" s="127">
        <v>3</v>
      </c>
      <c r="N51" s="122"/>
      <c r="O51" s="69"/>
    </row>
    <row r="52" spans="1:15" ht="39.75" customHeight="1" x14ac:dyDescent="0.3">
      <c r="A52" s="69"/>
      <c r="B52" s="123"/>
      <c r="C52" s="128" t="s">
        <v>122</v>
      </c>
      <c r="D52" s="110" t="s">
        <v>125</v>
      </c>
      <c r="E52" s="187" t="s">
        <v>126</v>
      </c>
      <c r="F52" s="158"/>
      <c r="G52" s="158"/>
      <c r="H52" s="158"/>
      <c r="I52" s="158"/>
      <c r="J52" s="158"/>
      <c r="K52" s="158"/>
      <c r="L52" s="110"/>
      <c r="M52" s="129">
        <v>3</v>
      </c>
      <c r="N52" s="122"/>
      <c r="O52" s="69"/>
    </row>
    <row r="53" spans="1:15" ht="39.75" customHeight="1" x14ac:dyDescent="0.3">
      <c r="A53" s="69"/>
      <c r="B53" s="119"/>
      <c r="C53" s="126" t="s">
        <v>122</v>
      </c>
      <c r="D53" s="110" t="s">
        <v>127</v>
      </c>
      <c r="E53" s="187" t="s">
        <v>128</v>
      </c>
      <c r="F53" s="158"/>
      <c r="G53" s="158"/>
      <c r="H53" s="158"/>
      <c r="I53" s="158"/>
      <c r="J53" s="158"/>
      <c r="K53" s="158"/>
      <c r="L53" s="110"/>
      <c r="M53" s="127">
        <v>3</v>
      </c>
      <c r="N53" s="122"/>
      <c r="O53" s="69"/>
    </row>
    <row r="54" spans="1:15" ht="39.75" customHeight="1" x14ac:dyDescent="0.3">
      <c r="A54" s="69"/>
      <c r="B54" s="123"/>
      <c r="C54" s="130" t="s">
        <v>129</v>
      </c>
      <c r="D54" s="114" t="s">
        <v>130</v>
      </c>
      <c r="E54" s="203" t="s">
        <v>131</v>
      </c>
      <c r="F54" s="158"/>
      <c r="G54" s="158"/>
      <c r="H54" s="158"/>
      <c r="I54" s="158"/>
      <c r="J54" s="158"/>
      <c r="K54" s="158"/>
      <c r="L54" s="114"/>
      <c r="M54" s="131">
        <v>3</v>
      </c>
      <c r="N54" s="122"/>
      <c r="O54" s="69"/>
    </row>
    <row r="55" spans="1:15" ht="39.75" customHeight="1" x14ac:dyDescent="0.3">
      <c r="A55" s="69"/>
      <c r="B55" s="119"/>
      <c r="C55" s="132" t="s">
        <v>129</v>
      </c>
      <c r="D55" s="111" t="s">
        <v>132</v>
      </c>
      <c r="E55" s="167" t="s">
        <v>133</v>
      </c>
      <c r="F55" s="158"/>
      <c r="G55" s="158"/>
      <c r="H55" s="158"/>
      <c r="I55" s="158"/>
      <c r="J55" s="158"/>
      <c r="K55" s="158"/>
      <c r="L55" s="111"/>
      <c r="M55" s="133">
        <v>3</v>
      </c>
      <c r="N55" s="122"/>
      <c r="O55" s="69"/>
    </row>
    <row r="56" spans="1:15" ht="39.75" customHeight="1" x14ac:dyDescent="0.3">
      <c r="A56" s="69"/>
      <c r="B56" s="134"/>
      <c r="C56" s="135" t="s">
        <v>134</v>
      </c>
      <c r="D56" s="114" t="s">
        <v>135</v>
      </c>
      <c r="E56" s="203" t="s">
        <v>136</v>
      </c>
      <c r="F56" s="158"/>
      <c r="G56" s="158"/>
      <c r="H56" s="158"/>
      <c r="I56" s="158"/>
      <c r="J56" s="158"/>
      <c r="K56" s="158"/>
      <c r="L56" s="114"/>
      <c r="M56" s="136">
        <v>3</v>
      </c>
      <c r="N56" s="137"/>
      <c r="O56" s="69"/>
    </row>
    <row r="57" spans="1:15" ht="39.75" customHeight="1" x14ac:dyDescent="0.3">
      <c r="A57" s="69"/>
      <c r="B57" s="123"/>
      <c r="C57" s="138" t="s">
        <v>137</v>
      </c>
      <c r="D57" s="111" t="s">
        <v>138</v>
      </c>
      <c r="E57" s="167" t="s">
        <v>139</v>
      </c>
      <c r="F57" s="158"/>
      <c r="G57" s="158"/>
      <c r="H57" s="158"/>
      <c r="I57" s="158"/>
      <c r="J57" s="158"/>
      <c r="K57" s="158"/>
      <c r="L57" s="111"/>
      <c r="M57" s="139">
        <v>3</v>
      </c>
      <c r="N57" s="122"/>
      <c r="O57" s="69"/>
    </row>
    <row r="58" spans="1:15" ht="39.75" customHeight="1" x14ac:dyDescent="0.3">
      <c r="A58" s="69"/>
      <c r="B58" s="123"/>
      <c r="C58" s="130" t="s">
        <v>140</v>
      </c>
      <c r="D58" s="114" t="s">
        <v>140</v>
      </c>
      <c r="E58" s="203" t="s">
        <v>141</v>
      </c>
      <c r="F58" s="158"/>
      <c r="G58" s="158"/>
      <c r="H58" s="158"/>
      <c r="I58" s="158"/>
      <c r="J58" s="158"/>
      <c r="K58" s="158"/>
      <c r="L58" s="114"/>
      <c r="M58" s="131">
        <v>3</v>
      </c>
      <c r="N58" s="122"/>
      <c r="O58" s="69"/>
    </row>
    <row r="59" spans="1:15" ht="39.75" customHeight="1" x14ac:dyDescent="0.3">
      <c r="A59" s="69"/>
      <c r="B59" s="123"/>
      <c r="C59" s="132" t="s">
        <v>140</v>
      </c>
      <c r="D59" s="111" t="s">
        <v>142</v>
      </c>
      <c r="E59" s="167" t="s">
        <v>143</v>
      </c>
      <c r="F59" s="158"/>
      <c r="G59" s="158"/>
      <c r="H59" s="158"/>
      <c r="I59" s="158"/>
      <c r="J59" s="158"/>
      <c r="K59" s="158"/>
      <c r="L59" s="111"/>
      <c r="M59" s="133">
        <v>3</v>
      </c>
      <c r="N59" s="122"/>
      <c r="O59" s="69"/>
    </row>
    <row r="60" spans="1:15" ht="39.75" customHeight="1" x14ac:dyDescent="0.3">
      <c r="A60" s="69"/>
      <c r="B60" s="140"/>
      <c r="C60" s="135" t="s">
        <v>144</v>
      </c>
      <c r="D60" s="114" t="s">
        <v>145</v>
      </c>
      <c r="E60" s="203" t="s">
        <v>146</v>
      </c>
      <c r="F60" s="158"/>
      <c r="G60" s="158"/>
      <c r="H60" s="158"/>
      <c r="I60" s="158"/>
      <c r="J60" s="158"/>
      <c r="K60" s="158"/>
      <c r="L60" s="114"/>
      <c r="M60" s="136">
        <v>3</v>
      </c>
      <c r="N60" s="141"/>
      <c r="O60" s="69"/>
    </row>
    <row r="61" spans="1:15" ht="39.75" customHeight="1" x14ac:dyDescent="0.3">
      <c r="A61" s="69"/>
      <c r="B61" s="119"/>
      <c r="C61" s="138" t="s">
        <v>144</v>
      </c>
      <c r="D61" s="111" t="s">
        <v>147</v>
      </c>
      <c r="E61" s="167" t="s">
        <v>148</v>
      </c>
      <c r="F61" s="158"/>
      <c r="G61" s="158"/>
      <c r="H61" s="158"/>
      <c r="I61" s="158"/>
      <c r="J61" s="158"/>
      <c r="K61" s="158"/>
      <c r="L61" s="111"/>
      <c r="M61" s="139">
        <v>3</v>
      </c>
      <c r="N61" s="122"/>
      <c r="O61" s="69"/>
    </row>
    <row r="62" spans="1:15" ht="15.75" customHeight="1" x14ac:dyDescent="0.3">
      <c r="A62" s="69"/>
      <c r="B62" s="123"/>
      <c r="C62" s="123"/>
      <c r="D62" s="120"/>
      <c r="E62" s="120"/>
      <c r="F62" s="120"/>
      <c r="G62" s="120"/>
      <c r="H62" s="120"/>
      <c r="I62" s="120"/>
      <c r="J62" s="120"/>
      <c r="K62" s="120"/>
      <c r="L62" s="120"/>
      <c r="M62" s="120"/>
      <c r="N62" s="120"/>
      <c r="O62" s="69"/>
    </row>
    <row r="63" spans="1:15" ht="15.75" customHeight="1" x14ac:dyDescent="0.3">
      <c r="A63" s="69"/>
      <c r="B63" s="69"/>
      <c r="C63" s="69"/>
      <c r="D63" s="69"/>
      <c r="E63" s="69"/>
      <c r="F63" s="69"/>
      <c r="G63" s="69"/>
      <c r="H63" s="69"/>
      <c r="I63" s="69"/>
      <c r="J63" s="69"/>
      <c r="K63" s="69"/>
      <c r="L63" s="69"/>
      <c r="M63" s="69"/>
      <c r="N63" s="69"/>
      <c r="O63" s="69"/>
    </row>
    <row r="64" spans="1:15" ht="24" customHeight="1" x14ac:dyDescent="0.45">
      <c r="A64" s="69"/>
      <c r="B64" s="142" t="s">
        <v>149</v>
      </c>
      <c r="C64" s="174" t="s">
        <v>150</v>
      </c>
      <c r="D64" s="158"/>
      <c r="E64" s="158"/>
      <c r="F64" s="143" t="s">
        <v>149</v>
      </c>
      <c r="G64" s="123" t="s">
        <v>149</v>
      </c>
      <c r="H64" s="123" t="s">
        <v>149</v>
      </c>
      <c r="I64" s="123" t="s">
        <v>149</v>
      </c>
      <c r="J64" s="123" t="s">
        <v>149</v>
      </c>
      <c r="K64" s="123" t="s">
        <v>149</v>
      </c>
      <c r="L64" s="123"/>
      <c r="M64" s="123" t="s">
        <v>149</v>
      </c>
      <c r="N64" s="123" t="s">
        <v>149</v>
      </c>
      <c r="O64" s="69"/>
    </row>
    <row r="65" spans="1:15" ht="15.75" customHeight="1" x14ac:dyDescent="0.3">
      <c r="A65" s="69"/>
      <c r="B65" s="142" t="s">
        <v>149</v>
      </c>
      <c r="C65" s="144" t="s">
        <v>151</v>
      </c>
      <c r="D65" s="144" t="s">
        <v>152</v>
      </c>
      <c r="E65" s="176" t="s">
        <v>153</v>
      </c>
      <c r="F65" s="158"/>
      <c r="G65" s="158"/>
      <c r="H65" s="158"/>
      <c r="I65" s="112" t="s">
        <v>154</v>
      </c>
      <c r="J65" s="144"/>
      <c r="K65" s="144"/>
      <c r="L65" s="144"/>
      <c r="M65" s="144"/>
      <c r="N65" s="123" t="s">
        <v>149</v>
      </c>
      <c r="O65" s="69"/>
    </row>
    <row r="66" spans="1:15" ht="48.75" customHeight="1" x14ac:dyDescent="0.3">
      <c r="A66" s="69"/>
      <c r="B66" s="123" t="s">
        <v>149</v>
      </c>
      <c r="C66" s="145">
        <v>1</v>
      </c>
      <c r="D66" s="146" t="s">
        <v>155</v>
      </c>
      <c r="E66" s="204" t="s">
        <v>156</v>
      </c>
      <c r="F66" s="158"/>
      <c r="G66" s="158"/>
      <c r="H66" s="158"/>
      <c r="I66" s="186" t="s">
        <v>157</v>
      </c>
      <c r="J66" s="158"/>
      <c r="K66" s="158"/>
      <c r="L66" s="158"/>
      <c r="M66" s="158"/>
      <c r="N66" s="123" t="s">
        <v>149</v>
      </c>
      <c r="O66" s="69"/>
    </row>
    <row r="67" spans="1:15" ht="47.25" customHeight="1" x14ac:dyDescent="0.3">
      <c r="A67" s="69"/>
      <c r="B67" s="123" t="s">
        <v>149</v>
      </c>
      <c r="C67" s="147">
        <v>2</v>
      </c>
      <c r="D67" s="148" t="s">
        <v>158</v>
      </c>
      <c r="E67" s="212" t="s">
        <v>159</v>
      </c>
      <c r="F67" s="158"/>
      <c r="G67" s="158"/>
      <c r="H67" s="158"/>
      <c r="I67" s="169" t="s">
        <v>160</v>
      </c>
      <c r="J67" s="158"/>
      <c r="K67" s="158"/>
      <c r="L67" s="158"/>
      <c r="M67" s="158"/>
      <c r="N67" s="123" t="s">
        <v>149</v>
      </c>
      <c r="O67" s="69"/>
    </row>
    <row r="68" spans="1:15" ht="42" customHeight="1" x14ac:dyDescent="0.3">
      <c r="A68" s="69"/>
      <c r="B68" s="123" t="s">
        <v>149</v>
      </c>
      <c r="C68" s="145">
        <v>3</v>
      </c>
      <c r="D68" s="146" t="s">
        <v>161</v>
      </c>
      <c r="E68" s="204" t="s">
        <v>162</v>
      </c>
      <c r="F68" s="158"/>
      <c r="G68" s="158"/>
      <c r="H68" s="158"/>
      <c r="I68" s="186" t="s">
        <v>163</v>
      </c>
      <c r="J68" s="158"/>
      <c r="K68" s="158"/>
      <c r="L68" s="158"/>
      <c r="M68" s="158"/>
      <c r="N68" s="123" t="s">
        <v>149</v>
      </c>
      <c r="O68" s="69"/>
    </row>
    <row r="69" spans="1:15" ht="42" customHeight="1" x14ac:dyDescent="0.3">
      <c r="A69" s="69"/>
      <c r="B69" s="123" t="s">
        <v>149</v>
      </c>
      <c r="C69" s="147">
        <v>4</v>
      </c>
      <c r="D69" s="148" t="s">
        <v>164</v>
      </c>
      <c r="E69" s="212" t="s">
        <v>165</v>
      </c>
      <c r="F69" s="158"/>
      <c r="G69" s="158"/>
      <c r="H69" s="158"/>
      <c r="I69" s="169" t="s">
        <v>166</v>
      </c>
      <c r="J69" s="158"/>
      <c r="K69" s="158"/>
      <c r="L69" s="158"/>
      <c r="M69" s="158"/>
      <c r="N69" s="123" t="s">
        <v>149</v>
      </c>
      <c r="O69" s="69"/>
    </row>
    <row r="70" spans="1:15" ht="36" customHeight="1" x14ac:dyDescent="0.3">
      <c r="A70" s="69"/>
      <c r="B70" s="123" t="s">
        <v>149</v>
      </c>
      <c r="C70" s="145">
        <v>5</v>
      </c>
      <c r="D70" s="146" t="s">
        <v>167</v>
      </c>
      <c r="E70" s="204" t="s">
        <v>168</v>
      </c>
      <c r="F70" s="158"/>
      <c r="G70" s="158"/>
      <c r="H70" s="158"/>
      <c r="I70" s="186" t="s">
        <v>169</v>
      </c>
      <c r="J70" s="158"/>
      <c r="K70" s="158"/>
      <c r="L70" s="158"/>
      <c r="M70" s="158"/>
      <c r="N70" s="123" t="s">
        <v>149</v>
      </c>
      <c r="O70" s="69"/>
    </row>
    <row r="71" spans="1:15" ht="15.75" customHeight="1" x14ac:dyDescent="0.3">
      <c r="A71" s="69"/>
      <c r="B71" s="123" t="s">
        <v>149</v>
      </c>
      <c r="C71" s="123" t="s">
        <v>149</v>
      </c>
      <c r="D71" s="123" t="s">
        <v>149</v>
      </c>
      <c r="E71" s="123" t="s">
        <v>149</v>
      </c>
      <c r="F71" s="123" t="s">
        <v>149</v>
      </c>
      <c r="G71" s="123" t="s">
        <v>149</v>
      </c>
      <c r="H71" s="123" t="s">
        <v>149</v>
      </c>
      <c r="I71" s="123" t="s">
        <v>149</v>
      </c>
      <c r="J71" s="123" t="s">
        <v>149</v>
      </c>
      <c r="K71" s="123" t="s">
        <v>149</v>
      </c>
      <c r="L71" s="123"/>
      <c r="M71" s="123" t="s">
        <v>149</v>
      </c>
      <c r="N71" s="123" t="s">
        <v>149</v>
      </c>
      <c r="O71" s="69"/>
    </row>
    <row r="72" spans="1:15" ht="15.75" customHeight="1" x14ac:dyDescent="0.3">
      <c r="A72" s="69"/>
      <c r="B72" s="37"/>
      <c r="C72" s="37"/>
      <c r="D72" s="37"/>
      <c r="E72" s="37"/>
      <c r="F72" s="37"/>
      <c r="G72" s="37"/>
      <c r="H72" s="37"/>
      <c r="I72" s="37"/>
      <c r="J72" s="37"/>
      <c r="K72" s="37"/>
      <c r="L72" s="37"/>
      <c r="M72" s="37"/>
      <c r="N72" s="37"/>
      <c r="O72" s="69"/>
    </row>
    <row r="73" spans="1:15" ht="15.75" customHeight="1" x14ac:dyDescent="0.3">
      <c r="A73" s="115"/>
      <c r="B73" s="115"/>
      <c r="C73" s="115"/>
      <c r="D73" s="115"/>
      <c r="E73" s="115"/>
      <c r="F73" s="115"/>
      <c r="G73" s="115"/>
      <c r="H73" s="115"/>
      <c r="I73" s="115"/>
      <c r="J73" s="115"/>
      <c r="K73" s="115"/>
      <c r="L73" s="115"/>
      <c r="M73" s="115"/>
      <c r="N73" s="115"/>
      <c r="O73" s="115"/>
    </row>
    <row r="74" spans="1:15" ht="15.75" customHeight="1" x14ac:dyDescent="0.3">
      <c r="A74" s="115"/>
      <c r="B74" s="115"/>
      <c r="C74" s="115"/>
      <c r="D74" s="115"/>
      <c r="E74" s="115"/>
      <c r="F74" s="115"/>
      <c r="G74" s="115"/>
      <c r="H74" s="115"/>
      <c r="I74" s="115"/>
      <c r="J74" s="115"/>
      <c r="K74" s="115"/>
      <c r="L74" s="115"/>
      <c r="M74" s="115"/>
      <c r="N74" s="115"/>
      <c r="O74" s="115"/>
    </row>
    <row r="75" spans="1:15" ht="15.75" customHeight="1" x14ac:dyDescent="0.3">
      <c r="A75" s="115"/>
      <c r="B75" s="115"/>
      <c r="C75" s="115"/>
      <c r="D75" s="115"/>
      <c r="E75" s="115"/>
      <c r="F75" s="115"/>
      <c r="G75" s="115"/>
      <c r="H75" s="115"/>
      <c r="I75" s="115"/>
      <c r="J75" s="115"/>
      <c r="K75" s="115"/>
      <c r="L75" s="115"/>
      <c r="M75" s="115"/>
      <c r="N75" s="115"/>
      <c r="O75" s="115"/>
    </row>
    <row r="76" spans="1:15" ht="15.75" customHeight="1" x14ac:dyDescent="0.3">
      <c r="A76" s="115"/>
      <c r="B76" s="115"/>
      <c r="C76" s="115"/>
      <c r="D76" s="115"/>
      <c r="E76" s="115"/>
      <c r="F76" s="115"/>
      <c r="G76" s="115"/>
      <c r="H76" s="115"/>
      <c r="I76" s="115"/>
      <c r="J76" s="115"/>
      <c r="K76" s="115"/>
      <c r="L76" s="115"/>
      <c r="M76" s="115"/>
      <c r="N76" s="115"/>
      <c r="O76" s="115"/>
    </row>
    <row r="77" spans="1:15" ht="15.75" customHeight="1" x14ac:dyDescent="0.3">
      <c r="A77" s="115"/>
      <c r="B77" s="115"/>
      <c r="C77" s="115"/>
      <c r="D77" s="115"/>
      <c r="E77" s="115"/>
      <c r="F77" s="115"/>
      <c r="G77" s="115"/>
      <c r="H77" s="115"/>
      <c r="I77" s="115"/>
      <c r="J77" s="115"/>
      <c r="K77" s="115"/>
      <c r="L77" s="115"/>
      <c r="M77" s="115"/>
      <c r="N77" s="115"/>
      <c r="O77" s="115"/>
    </row>
    <row r="78" spans="1:15" ht="15.75" customHeight="1" x14ac:dyDescent="0.3">
      <c r="A78" s="115"/>
      <c r="B78" s="115"/>
      <c r="C78" s="115"/>
      <c r="D78" s="115"/>
      <c r="E78" s="115"/>
      <c r="F78" s="115"/>
      <c r="G78" s="115"/>
      <c r="H78" s="115"/>
      <c r="I78" s="115"/>
      <c r="J78" s="115"/>
      <c r="K78" s="115"/>
      <c r="L78" s="115"/>
      <c r="M78" s="115"/>
      <c r="N78" s="115"/>
      <c r="O78" s="115"/>
    </row>
    <row r="79" spans="1:15" ht="15.75" customHeight="1" x14ac:dyDescent="0.3">
      <c r="A79" s="115"/>
      <c r="B79" s="115"/>
      <c r="C79" s="115"/>
      <c r="D79" s="115"/>
      <c r="E79" s="115"/>
      <c r="F79" s="115"/>
      <c r="G79" s="115"/>
      <c r="H79" s="115"/>
      <c r="I79" s="115"/>
      <c r="J79" s="115"/>
      <c r="K79" s="115"/>
      <c r="L79" s="115"/>
      <c r="M79" s="115"/>
      <c r="N79" s="115"/>
      <c r="O79" s="115"/>
    </row>
    <row r="80" spans="1:15" ht="15.75" customHeight="1" x14ac:dyDescent="0.3">
      <c r="A80" s="115"/>
      <c r="B80" s="115"/>
      <c r="C80" s="115"/>
      <c r="D80" s="115"/>
      <c r="E80" s="115"/>
      <c r="F80" s="115"/>
      <c r="G80" s="115"/>
      <c r="H80" s="115"/>
      <c r="I80" s="115"/>
      <c r="J80" s="115"/>
      <c r="K80" s="115"/>
      <c r="L80" s="115"/>
      <c r="M80" s="115"/>
      <c r="N80" s="115"/>
      <c r="O80" s="115"/>
    </row>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row r="1020" ht="15.75" customHeight="1" x14ac:dyDescent="0.3"/>
    <row r="1021" ht="15.75" customHeight="1" x14ac:dyDescent="0.3"/>
    <row r="1022" ht="15.75" customHeight="1" x14ac:dyDescent="0.3"/>
    <row r="1023" ht="15.75" customHeight="1" x14ac:dyDescent="0.3"/>
    <row r="1024" ht="15.75" customHeight="1" x14ac:dyDescent="0.3"/>
  </sheetData>
  <mergeCells count="86">
    <mergeCell ref="E70:H70"/>
    <mergeCell ref="D40:E40"/>
    <mergeCell ref="F2:K2"/>
    <mergeCell ref="D32:E32"/>
    <mergeCell ref="G18:K18"/>
    <mergeCell ref="D16:E16"/>
    <mergeCell ref="C2:D2"/>
    <mergeCell ref="D43:E43"/>
    <mergeCell ref="E51:K51"/>
    <mergeCell ref="D18:E18"/>
    <mergeCell ref="D42:E42"/>
    <mergeCell ref="E69:H69"/>
    <mergeCell ref="G20:K20"/>
    <mergeCell ref="D44:E44"/>
    <mergeCell ref="E68:H68"/>
    <mergeCell ref="I66:M66"/>
    <mergeCell ref="I67:M67"/>
    <mergeCell ref="D30:E30"/>
    <mergeCell ref="E60:K60"/>
    <mergeCell ref="C64:E64"/>
    <mergeCell ref="E57:K57"/>
    <mergeCell ref="E58:K58"/>
    <mergeCell ref="K46:K47"/>
    <mergeCell ref="E67:H67"/>
    <mergeCell ref="E52:K52"/>
    <mergeCell ref="E50:I50"/>
    <mergeCell ref="D31:K31"/>
    <mergeCell ref="N46:N47"/>
    <mergeCell ref="E54:K54"/>
    <mergeCell ref="E66:H66"/>
    <mergeCell ref="D36:K36"/>
    <mergeCell ref="M15:M16"/>
    <mergeCell ref="M46:M47"/>
    <mergeCell ref="E56:K56"/>
    <mergeCell ref="D27:E27"/>
    <mergeCell ref="G19:K19"/>
    <mergeCell ref="D25:E25"/>
    <mergeCell ref="D26:K26"/>
    <mergeCell ref="L46:L47"/>
    <mergeCell ref="D23:E23"/>
    <mergeCell ref="D38:E38"/>
    <mergeCell ref="E59:K59"/>
    <mergeCell ref="E61:K61"/>
    <mergeCell ref="I70:M70"/>
    <mergeCell ref="E53:K53"/>
    <mergeCell ref="L3:L7"/>
    <mergeCell ref="N3:N7"/>
    <mergeCell ref="D39:E39"/>
    <mergeCell ref="D15:E15"/>
    <mergeCell ref="D29:E29"/>
    <mergeCell ref="G25:H25"/>
    <mergeCell ref="M3:M7"/>
    <mergeCell ref="D13:K13"/>
    <mergeCell ref="C7:D7"/>
    <mergeCell ref="D14:E14"/>
    <mergeCell ref="G24:H24"/>
    <mergeCell ref="D37:E37"/>
    <mergeCell ref="D19:E19"/>
    <mergeCell ref="D34:E34"/>
    <mergeCell ref="E55:K55"/>
    <mergeCell ref="D41:K41"/>
    <mergeCell ref="I69:M69"/>
    <mergeCell ref="D17:K17"/>
    <mergeCell ref="G15:K15"/>
    <mergeCell ref="C49:E49"/>
    <mergeCell ref="D24:E24"/>
    <mergeCell ref="E65:H65"/>
    <mergeCell ref="D33:E33"/>
    <mergeCell ref="G16:K16"/>
    <mergeCell ref="G22:H22"/>
    <mergeCell ref="D35:E35"/>
    <mergeCell ref="D21:K21"/>
    <mergeCell ref="D45:E45"/>
    <mergeCell ref="I68:M68"/>
    <mergeCell ref="D28:E28"/>
    <mergeCell ref="F3:K7"/>
    <mergeCell ref="D20:E20"/>
    <mergeCell ref="C6:D6"/>
    <mergeCell ref="D22:E22"/>
    <mergeCell ref="G23:H23"/>
    <mergeCell ref="C3:D3"/>
    <mergeCell ref="C4:D4"/>
    <mergeCell ref="C10:M10"/>
    <mergeCell ref="G14:K14"/>
    <mergeCell ref="C5:D5"/>
    <mergeCell ref="G11:K11"/>
  </mergeCells>
  <conditionalFormatting sqref="L15 L28:L29">
    <cfRule type="cellIs" dxfId="41" priority="66" operator="equal">
      <formula>"INSUFFICIENT"</formula>
    </cfRule>
    <cfRule type="cellIs" dxfId="40" priority="65" operator="equal">
      <formula>"SUFFICIENT"</formula>
    </cfRule>
    <cfRule type="cellIs" dxfId="39" priority="64" operator="equal">
      <formula>"GOOD"</formula>
    </cfRule>
    <cfRule type="cellIs" dxfId="38" priority="63" operator="equal">
      <formula>"EXCELLENT"</formula>
    </cfRule>
    <cfRule type="cellIs" dxfId="37" priority="68" operator="equal">
      <formula>"POOR"</formula>
    </cfRule>
    <cfRule type="cellIs" dxfId="36" priority="67" operator="equal">
      <formula>"MISSING"</formula>
    </cfRule>
  </conditionalFormatting>
  <conditionalFormatting sqref="L19">
    <cfRule type="cellIs" dxfId="35" priority="12" operator="equal">
      <formula>"MISSING"</formula>
    </cfRule>
    <cfRule type="cellIs" dxfId="34" priority="8" operator="equal">
      <formula>"EXCELLENT"</formula>
    </cfRule>
    <cfRule type="cellIs" dxfId="33" priority="9" operator="equal">
      <formula>"GOOD"</formula>
    </cfRule>
    <cfRule type="cellIs" dxfId="32" priority="10" operator="equal">
      <formula>"SUFFICIENT"</formula>
    </cfRule>
    <cfRule type="cellIs" dxfId="31" priority="11" operator="equal">
      <formula>"INSUFFICIENT"</formula>
    </cfRule>
    <cfRule type="cellIs" dxfId="30" priority="13" operator="equal">
      <formula>"POOR"</formula>
    </cfRule>
  </conditionalFormatting>
  <conditionalFormatting sqref="L23:L24">
    <cfRule type="cellIs" dxfId="29" priority="3" operator="equal">
      <formula>"GOOD"</formula>
    </cfRule>
    <cfRule type="cellIs" dxfId="28" priority="4" operator="equal">
      <formula>"SUFFICIENT"</formula>
    </cfRule>
    <cfRule type="cellIs" dxfId="27" priority="5" operator="equal">
      <formula>"INSUFFICIENT"</formula>
    </cfRule>
    <cfRule type="cellIs" dxfId="26" priority="6" operator="equal">
      <formula>"MISSING"</formula>
    </cfRule>
    <cfRule type="cellIs" dxfId="25" priority="7" operator="equal">
      <formula>"POOR"</formula>
    </cfRule>
    <cfRule type="cellIs" dxfId="24" priority="2" operator="equal">
      <formula>"EXCELLENT"</formula>
    </cfRule>
  </conditionalFormatting>
  <conditionalFormatting sqref="L33:L34">
    <cfRule type="cellIs" dxfId="23" priority="42" operator="equal">
      <formula>"EXCELLENT"</formula>
    </cfRule>
    <cfRule type="cellIs" dxfId="22" priority="43" operator="equal">
      <formula>"GOOD"</formula>
    </cfRule>
    <cfRule type="cellIs" dxfId="21" priority="44" operator="equal">
      <formula>"SUFFICIENT"</formula>
    </cfRule>
    <cfRule type="cellIs" dxfId="20" priority="45" operator="equal">
      <formula>"INSUFFICIENT"</formula>
    </cfRule>
    <cfRule type="cellIs" dxfId="19" priority="47" operator="equal">
      <formula>"POOR"</formula>
    </cfRule>
    <cfRule type="cellIs" dxfId="18" priority="46" operator="equal">
      <formula>"MISSING"</formula>
    </cfRule>
  </conditionalFormatting>
  <conditionalFormatting sqref="L38:L39">
    <cfRule type="cellIs" dxfId="17" priority="37" operator="equal">
      <formula>"GOOD"</formula>
    </cfRule>
    <cfRule type="cellIs" dxfId="16" priority="38" operator="equal">
      <formula>"SUFFICIENT"</formula>
    </cfRule>
    <cfRule type="cellIs" dxfId="15" priority="39" operator="equal">
      <formula>"INSUFFICIENT"</formula>
    </cfRule>
    <cfRule type="cellIs" dxfId="14" priority="40" operator="equal">
      <formula>"MISSING"</formula>
    </cfRule>
    <cfRule type="cellIs" dxfId="13" priority="41" operator="equal">
      <formula>"POOR"</formula>
    </cfRule>
    <cfRule type="cellIs" dxfId="12" priority="36" operator="equal">
      <formula>"EXCELLENT"</formula>
    </cfRule>
  </conditionalFormatting>
  <conditionalFormatting sqref="L43:L44">
    <cfRule type="cellIs" dxfId="11" priority="30" operator="equal">
      <formula>"EXCELLENT"</formula>
    </cfRule>
    <cfRule type="cellIs" dxfId="10" priority="31" operator="equal">
      <formula>"GOOD"</formula>
    </cfRule>
    <cfRule type="cellIs" dxfId="9" priority="35" operator="equal">
      <formula>"POOR"</formula>
    </cfRule>
    <cfRule type="cellIs" dxfId="8" priority="34" operator="equal">
      <formula>"MISSING"</formula>
    </cfRule>
    <cfRule type="cellIs" dxfId="7" priority="33" operator="equal">
      <formula>"INSUFFICIENT"</formula>
    </cfRule>
    <cfRule type="cellIs" dxfId="6" priority="32" operator="equal">
      <formula>"SUFFICIENT"</formula>
    </cfRule>
  </conditionalFormatting>
  <conditionalFormatting sqref="M3">
    <cfRule type="containsText" dxfId="5" priority="60" operator="containsText" text="FAIL">
      <formula>NOT(ISERROR(SEARCH(("FAIL"),(M3))))</formula>
    </cfRule>
    <cfRule type="cellIs" dxfId="4" priority="61" operator="equal">
      <formula>"PASS"</formula>
    </cfRule>
    <cfRule type="cellIs" dxfId="3" priority="62" operator="equal">
      <formula>"M/O"</formula>
    </cfRule>
  </conditionalFormatting>
  <conditionalFormatting sqref="N3:N7">
    <cfRule type="expression" dxfId="2" priority="14" stopIfTrue="1">
      <formula>$L$3&gt;5.5</formula>
    </cfRule>
    <cfRule type="expression" dxfId="1" priority="15" stopIfTrue="1">
      <formula>($L$3&lt;5.5) &amp; ($L$3&gt;0)</formula>
    </cfRule>
    <cfRule type="expression" dxfId="0" priority="16" stopIfTrue="1">
      <formula>$L$3=0</formula>
    </cfRule>
  </conditionalFormatting>
  <dataValidations count="5">
    <dataValidation type="list" showInputMessage="1" showErrorMessage="1" sqref="F16 F20 F25 F30 F35 F40 F45" xr:uid="{00000000-0002-0000-0000-000000000000}">
      <formula1>"Yes,No"</formula1>
    </dataValidation>
    <dataValidation type="list" showInputMessage="1" showErrorMessage="1" sqref="G30:K30 G45:K45 I25:K25 J35:K35" xr:uid="{00000000-0002-0000-0000-000001000000}">
      <formula1>"0,1,2"</formula1>
    </dataValidation>
    <dataValidation type="list" showInputMessage="1" showErrorMessage="1" sqref="G35:H35 G40:K40" xr:uid="{00000000-0002-0000-0000-000002000000}">
      <formula1>"0,1,2,3"</formula1>
    </dataValidation>
    <dataValidation type="list" showInputMessage="1" showErrorMessage="1" sqref="I35" xr:uid="{00000000-0002-0000-0000-000003000000}">
      <formula1>"0,1,2,3,4,5"</formula1>
    </dataValidation>
    <dataValidation type="list" showInputMessage="1" showErrorMessage="1" sqref="G25:H25" xr:uid="{00000000-0002-0000-0000-000004000000}">
      <formula1>"0,1,2,3,4"</formula1>
    </dataValidation>
  </dataValidations>
  <printOptions horizontalCentered="1" gridLines="1"/>
  <pageMargins left="0.25" right="0.25" top="0.75" bottom="0.75" header="0" footer="0"/>
  <pageSetup paperSize="9" pageOrder="overThenDown" orientation="portrait"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0"/>
  <sheetViews>
    <sheetView workbookViewId="0"/>
  </sheetViews>
  <sheetFormatPr defaultColWidth="12.44140625" defaultRowHeight="15" customHeight="1" x14ac:dyDescent="0.25"/>
  <cols>
    <col min="1" max="6" width="14.44140625" customWidth="1"/>
    <col min="7" max="7" width="18.109375" customWidth="1"/>
    <col min="8" max="8" width="14.44140625" customWidth="1"/>
    <col min="9" max="9" width="16.109375" customWidth="1"/>
    <col min="10" max="26" width="14.44140625" customWidth="1"/>
  </cols>
  <sheetData>
    <row r="1" spans="1:20" ht="15.75" customHeight="1" x14ac:dyDescent="0.25">
      <c r="A1" s="149"/>
      <c r="B1" s="149"/>
      <c r="C1" s="149"/>
      <c r="D1" s="149"/>
      <c r="E1" s="149"/>
      <c r="F1" s="149"/>
      <c r="G1" s="149"/>
      <c r="H1" s="149"/>
      <c r="I1" s="149"/>
      <c r="J1" s="149"/>
      <c r="K1" s="149"/>
      <c r="L1" s="149"/>
      <c r="M1" s="149"/>
      <c r="N1" s="149"/>
      <c r="O1" s="149"/>
      <c r="P1" s="149"/>
      <c r="Q1" s="149"/>
      <c r="R1" s="149"/>
      <c r="S1" s="149"/>
      <c r="T1" s="149"/>
    </row>
    <row r="2" spans="1:20" ht="15.75" customHeight="1" x14ac:dyDescent="0.25">
      <c r="A2" s="150" t="s">
        <v>170</v>
      </c>
      <c r="B2" s="220" t="s">
        <v>171</v>
      </c>
      <c r="C2" s="219"/>
      <c r="D2" s="219"/>
      <c r="E2" s="149"/>
      <c r="F2" s="149"/>
      <c r="G2" s="151"/>
      <c r="H2" s="24" t="s">
        <v>172</v>
      </c>
      <c r="I2" s="24" t="s">
        <v>173</v>
      </c>
      <c r="J2" s="24" t="s">
        <v>174</v>
      </c>
      <c r="K2" s="24" t="s">
        <v>175</v>
      </c>
      <c r="L2" s="24" t="s">
        <v>176</v>
      </c>
      <c r="M2" s="24" t="s">
        <v>177</v>
      </c>
      <c r="N2" s="149"/>
      <c r="O2" s="149"/>
      <c r="P2" s="149"/>
      <c r="Q2" s="149"/>
      <c r="R2" s="149"/>
      <c r="S2" s="149"/>
      <c r="T2" s="149"/>
    </row>
    <row r="3" spans="1:20" ht="15.75" customHeight="1" x14ac:dyDescent="0.3">
      <c r="A3" s="149"/>
      <c r="B3" s="25"/>
      <c r="C3" s="25"/>
      <c r="D3" s="25"/>
      <c r="E3" s="149"/>
      <c r="F3" s="150"/>
      <c r="G3" s="152"/>
      <c r="H3" s="152"/>
      <c r="I3" s="152"/>
      <c r="J3" s="152"/>
      <c r="K3" s="152"/>
      <c r="L3" s="152"/>
      <c r="M3" s="152"/>
      <c r="N3" s="152"/>
      <c r="O3" s="152"/>
      <c r="P3" s="152"/>
      <c r="Q3" s="152"/>
      <c r="R3" s="152"/>
      <c r="S3" s="152"/>
      <c r="T3" s="151"/>
    </row>
    <row r="4" spans="1:20" ht="15.75" customHeight="1" x14ac:dyDescent="0.3">
      <c r="A4" s="149"/>
      <c r="B4" s="25"/>
      <c r="C4" s="25"/>
      <c r="D4" s="25"/>
      <c r="E4" s="149"/>
      <c r="F4" s="150"/>
      <c r="G4" s="152"/>
      <c r="H4" s="152"/>
      <c r="I4" s="152"/>
      <c r="J4" s="152"/>
      <c r="K4" s="152"/>
      <c r="L4" s="152"/>
      <c r="M4" s="152"/>
      <c r="N4" s="152"/>
      <c r="O4" s="152"/>
      <c r="P4" s="152"/>
      <c r="Q4" s="152"/>
      <c r="R4" s="152"/>
      <c r="S4" s="152"/>
      <c r="T4" s="151"/>
    </row>
    <row r="5" spans="1:20" ht="15.75" customHeight="1" x14ac:dyDescent="0.3">
      <c r="A5" s="149"/>
      <c r="B5" s="221" t="s">
        <v>178</v>
      </c>
      <c r="C5" s="219"/>
      <c r="D5" s="219"/>
      <c r="E5" s="149"/>
      <c r="F5" s="150">
        <v>6.1</v>
      </c>
      <c r="G5" s="152" t="s">
        <v>179</v>
      </c>
      <c r="H5" s="152" t="s">
        <v>180</v>
      </c>
      <c r="I5" s="152" t="s">
        <v>181</v>
      </c>
      <c r="J5" s="152" t="s">
        <v>182</v>
      </c>
      <c r="K5" s="152" t="s">
        <v>183</v>
      </c>
      <c r="L5" s="152" t="s">
        <v>184</v>
      </c>
      <c r="M5" s="152" t="s">
        <v>185</v>
      </c>
      <c r="N5" s="152" t="e">
        <f ca="1">_xludf.CONCAT(M5,M6)</f>
        <v>#NAME?</v>
      </c>
      <c r="O5" s="152" t="e">
        <f ca="1">_xludf.CONCAT(L5,L6)</f>
        <v>#NAME?</v>
      </c>
      <c r="P5" s="152" t="e">
        <f ca="1">_xludf.CONCAT(K5,K6)</f>
        <v>#NAME?</v>
      </c>
      <c r="Q5" s="152" t="e">
        <f ca="1">_xludf.CONCAT(J5,J6)</f>
        <v>#NAME?</v>
      </c>
      <c r="R5" s="152" t="e">
        <f ca="1">_xludf.CONCAT(I5,I6)</f>
        <v>#NAME?</v>
      </c>
      <c r="S5" s="152" t="e">
        <f ca="1">_xludf.CONCAT(H5,H6)</f>
        <v>#NAME?</v>
      </c>
      <c r="T5" s="151"/>
    </row>
    <row r="6" spans="1:20" ht="15.75" customHeight="1" x14ac:dyDescent="0.3">
      <c r="A6" s="149"/>
      <c r="B6" s="25"/>
      <c r="C6" s="25"/>
      <c r="D6" s="25"/>
      <c r="E6" s="149"/>
      <c r="F6" s="149"/>
      <c r="G6" s="152"/>
      <c r="H6" s="152" t="s">
        <v>186</v>
      </c>
      <c r="I6" s="26" t="s">
        <v>187</v>
      </c>
      <c r="J6" s="152" t="s">
        <v>188</v>
      </c>
      <c r="K6" s="152" t="s">
        <v>189</v>
      </c>
      <c r="L6" s="152" t="s">
        <v>190</v>
      </c>
      <c r="M6" s="152" t="s">
        <v>191</v>
      </c>
      <c r="N6" s="151"/>
      <c r="O6" s="151"/>
      <c r="P6" s="151"/>
      <c r="Q6" s="151"/>
      <c r="R6" s="151"/>
      <c r="S6" s="151"/>
      <c r="T6" s="151"/>
    </row>
    <row r="7" spans="1:20" ht="15.75" customHeight="1" x14ac:dyDescent="0.3">
      <c r="A7" s="149"/>
      <c r="B7" s="221" t="s">
        <v>192</v>
      </c>
      <c r="C7" s="219"/>
      <c r="D7" s="219"/>
      <c r="E7" s="149"/>
      <c r="F7" s="150">
        <v>6.2</v>
      </c>
      <c r="G7" s="151" t="s">
        <v>193</v>
      </c>
      <c r="H7" s="27" t="s">
        <v>194</v>
      </c>
      <c r="I7" s="28" t="s">
        <v>195</v>
      </c>
      <c r="J7" s="28" t="s">
        <v>196</v>
      </c>
      <c r="K7" s="28" t="s">
        <v>197</v>
      </c>
      <c r="L7" s="29" t="s">
        <v>198</v>
      </c>
      <c r="M7" s="30" t="s">
        <v>199</v>
      </c>
      <c r="N7" s="152" t="e">
        <f ca="1">_xludf.CONCAT(M7,M8)</f>
        <v>#NAME?</v>
      </c>
      <c r="O7" s="152" t="e">
        <f ca="1">_xludf.CONCAT(L7,L8)</f>
        <v>#NAME?</v>
      </c>
      <c r="P7" s="152" t="e">
        <f ca="1">_xludf.CONCAT(K7,K8)</f>
        <v>#NAME?</v>
      </c>
      <c r="Q7" s="152" t="e">
        <f ca="1">_xludf.CONCAT(J7,J8)</f>
        <v>#NAME?</v>
      </c>
      <c r="R7" s="152" t="e">
        <f ca="1">_xludf.CONCAT(I7,I8)</f>
        <v>#NAME?</v>
      </c>
      <c r="S7" s="152" t="e">
        <f ca="1">_xludf.CONCAT(H7,H8)</f>
        <v>#NAME?</v>
      </c>
      <c r="T7" s="152"/>
    </row>
    <row r="8" spans="1:20" ht="15.75" customHeight="1" x14ac:dyDescent="0.3">
      <c r="A8" s="149"/>
      <c r="B8" s="221" t="s">
        <v>200</v>
      </c>
      <c r="C8" s="219"/>
      <c r="D8" s="219"/>
      <c r="E8" s="149"/>
      <c r="F8" s="149"/>
      <c r="G8" s="151"/>
      <c r="H8" s="31" t="s">
        <v>186</v>
      </c>
      <c r="I8" s="28" t="s">
        <v>201</v>
      </c>
      <c r="J8" s="29" t="s">
        <v>202</v>
      </c>
      <c r="K8" s="30" t="s">
        <v>203</v>
      </c>
      <c r="L8" s="30" t="s">
        <v>204</v>
      </c>
      <c r="M8" s="30" t="s">
        <v>205</v>
      </c>
      <c r="N8" s="152"/>
      <c r="O8" s="152"/>
      <c r="P8" s="152"/>
      <c r="Q8" s="152"/>
      <c r="R8" s="152"/>
      <c r="S8" s="152"/>
      <c r="T8" s="152"/>
    </row>
    <row r="9" spans="1:20" ht="15.75" customHeight="1" x14ac:dyDescent="0.25">
      <c r="A9" s="149"/>
      <c r="B9" s="149"/>
      <c r="C9" s="149"/>
      <c r="D9" s="149"/>
      <c r="E9" s="149"/>
      <c r="F9" s="149"/>
      <c r="G9" s="150"/>
      <c r="H9" s="151"/>
      <c r="I9" s="150"/>
      <c r="J9" s="150"/>
      <c r="K9" s="149"/>
      <c r="L9" s="150"/>
      <c r="M9" s="150"/>
      <c r="N9" s="149"/>
      <c r="O9" s="149"/>
      <c r="P9" s="149"/>
      <c r="Q9" s="149"/>
      <c r="R9" s="149"/>
      <c r="S9" s="149"/>
      <c r="T9" s="149"/>
    </row>
    <row r="10" spans="1:20" ht="15.75" customHeight="1" x14ac:dyDescent="0.25">
      <c r="A10" s="149"/>
      <c r="B10" s="149"/>
      <c r="C10" s="149"/>
      <c r="D10" s="149"/>
      <c r="E10" s="149"/>
      <c r="F10" s="149"/>
      <c r="G10" s="150"/>
      <c r="H10" s="151"/>
      <c r="I10" s="150"/>
      <c r="J10" s="150"/>
      <c r="K10" s="150"/>
      <c r="L10" s="150"/>
      <c r="M10" s="32"/>
      <c r="N10" s="149"/>
      <c r="O10" s="149"/>
      <c r="P10" s="149"/>
      <c r="Q10" s="149"/>
      <c r="R10" s="149"/>
      <c r="S10" s="149"/>
      <c r="T10" s="149"/>
    </row>
    <row r="11" spans="1:20" ht="15.75" customHeight="1" x14ac:dyDescent="0.25">
      <c r="A11" s="149"/>
      <c r="B11" s="149"/>
      <c r="C11" s="149"/>
      <c r="D11" s="149"/>
      <c r="E11" s="149"/>
      <c r="F11" s="149"/>
      <c r="G11" s="150"/>
      <c r="H11" s="151"/>
      <c r="I11" s="150"/>
      <c r="J11" s="150"/>
      <c r="K11" s="150"/>
      <c r="L11" s="150"/>
      <c r="M11" s="32"/>
      <c r="N11" s="149"/>
      <c r="O11" s="149"/>
      <c r="P11" s="149"/>
      <c r="Q11" s="149"/>
      <c r="R11" s="149"/>
      <c r="S11" s="149"/>
      <c r="T11" s="149"/>
    </row>
    <row r="12" spans="1:20" ht="15.75" customHeight="1" x14ac:dyDescent="0.25">
      <c r="A12" s="149"/>
      <c r="B12" s="149"/>
      <c r="C12" s="149"/>
      <c r="D12" s="149"/>
      <c r="E12" s="149"/>
      <c r="F12" s="149"/>
      <c r="G12" s="150"/>
      <c r="H12" s="151"/>
      <c r="I12" s="150"/>
      <c r="J12" s="150"/>
      <c r="K12" s="150"/>
      <c r="L12" s="150"/>
      <c r="M12" s="32"/>
      <c r="N12" s="149"/>
      <c r="O12" s="149"/>
      <c r="P12" s="149"/>
      <c r="Q12" s="149"/>
      <c r="R12" s="149"/>
      <c r="S12" s="149"/>
      <c r="T12" s="149"/>
    </row>
    <row r="13" spans="1:20" ht="15.75" customHeight="1" x14ac:dyDescent="0.3">
      <c r="A13" s="149"/>
      <c r="B13" s="218"/>
      <c r="C13" s="219"/>
      <c r="D13" s="219"/>
      <c r="E13" s="149"/>
      <c r="F13" s="149"/>
      <c r="G13" s="150"/>
      <c r="H13" s="151" t="s">
        <v>206</v>
      </c>
      <c r="I13" s="150" t="s">
        <v>207</v>
      </c>
      <c r="J13" s="150" t="s">
        <v>208</v>
      </c>
      <c r="K13" s="150" t="s">
        <v>209</v>
      </c>
      <c r="L13" s="150" t="s">
        <v>210</v>
      </c>
      <c r="M13" s="32" t="s">
        <v>211</v>
      </c>
      <c r="N13" s="149"/>
      <c r="O13" s="149"/>
      <c r="P13" s="149"/>
      <c r="Q13" s="149"/>
      <c r="R13" s="149"/>
      <c r="S13" s="149"/>
      <c r="T13" s="149"/>
    </row>
    <row r="14" spans="1:20" ht="70.5" customHeight="1" x14ac:dyDescent="0.3">
      <c r="A14" s="149"/>
      <c r="B14" s="221" t="s">
        <v>212</v>
      </c>
      <c r="C14" s="219"/>
      <c r="D14" s="219"/>
      <c r="E14" s="149"/>
      <c r="F14" s="150">
        <v>3.1</v>
      </c>
      <c r="G14" s="153"/>
      <c r="H14" s="27" t="s">
        <v>194</v>
      </c>
      <c r="I14" s="151" t="s">
        <v>213</v>
      </c>
      <c r="J14" s="151" t="s">
        <v>214</v>
      </c>
      <c r="K14" s="151" t="s">
        <v>215</v>
      </c>
      <c r="L14" s="151" t="s">
        <v>216</v>
      </c>
      <c r="M14" s="151" t="s">
        <v>217</v>
      </c>
      <c r="N14" s="152" t="e">
        <f ca="1">_xludf.CONCAT(M14,M15)</f>
        <v>#NAME?</v>
      </c>
      <c r="O14" s="152" t="e">
        <f ca="1">_xludf.CONCAT(L14,L15)</f>
        <v>#NAME?</v>
      </c>
      <c r="P14" s="152" t="e">
        <f ca="1">_xludf.CONCAT(K14,K15)</f>
        <v>#NAME?</v>
      </c>
      <c r="Q14" s="152" t="e">
        <f ca="1">_xludf.CONCAT(J14,J15)</f>
        <v>#NAME?</v>
      </c>
      <c r="R14" s="152" t="e">
        <f ca="1">_xludf.CONCAT(I14,I15)</f>
        <v>#NAME?</v>
      </c>
      <c r="S14" s="152" t="e">
        <f ca="1">_xludf.CONCAT(H14,H15)</f>
        <v>#NAME?</v>
      </c>
      <c r="T14" s="149"/>
    </row>
    <row r="15" spans="1:20" ht="66.75" customHeight="1" x14ac:dyDescent="0.25">
      <c r="A15" s="149"/>
      <c r="B15" s="33"/>
      <c r="C15" s="149"/>
      <c r="D15" s="149"/>
      <c r="E15" s="149"/>
      <c r="F15" s="149"/>
      <c r="G15" s="153" t="s">
        <v>218</v>
      </c>
      <c r="H15" s="31" t="s">
        <v>186</v>
      </c>
      <c r="I15" s="151" t="s">
        <v>219</v>
      </c>
      <c r="J15" s="151" t="s">
        <v>220</v>
      </c>
      <c r="K15" s="151" t="s">
        <v>221</v>
      </c>
      <c r="L15" s="151" t="s">
        <v>222</v>
      </c>
      <c r="M15" s="151" t="s">
        <v>223</v>
      </c>
      <c r="N15" s="149"/>
      <c r="O15" s="149"/>
      <c r="P15" s="149"/>
      <c r="Q15" s="149"/>
      <c r="R15" s="149"/>
      <c r="S15" s="149"/>
      <c r="T15" s="149"/>
    </row>
    <row r="16" spans="1:20" ht="15.75" customHeight="1" x14ac:dyDescent="0.25">
      <c r="A16" s="149"/>
      <c r="B16" s="149"/>
      <c r="C16" s="149"/>
      <c r="D16" s="149"/>
      <c r="E16" s="149"/>
      <c r="F16" s="149"/>
      <c r="G16" s="150"/>
      <c r="H16" s="151"/>
      <c r="I16" s="151"/>
      <c r="J16" s="151"/>
      <c r="K16" s="151"/>
      <c r="L16" s="151"/>
      <c r="M16" s="34"/>
      <c r="N16" s="149"/>
      <c r="O16" s="149"/>
      <c r="P16" s="149"/>
      <c r="Q16" s="149"/>
      <c r="R16" s="149"/>
      <c r="S16" s="149"/>
      <c r="T16" s="149"/>
    </row>
    <row r="17" spans="2:19" ht="15.75" customHeight="1" x14ac:dyDescent="0.25">
      <c r="B17" s="149"/>
      <c r="C17" s="149"/>
      <c r="D17" s="149"/>
      <c r="E17" s="149"/>
      <c r="F17" s="149"/>
      <c r="G17" s="150"/>
      <c r="H17" s="151"/>
      <c r="I17" s="151"/>
      <c r="J17" s="151"/>
      <c r="K17" s="151"/>
      <c r="L17" s="151"/>
      <c r="M17" s="151"/>
      <c r="N17" s="149"/>
      <c r="O17" s="149"/>
      <c r="P17" s="149"/>
      <c r="Q17" s="149"/>
      <c r="R17" s="149"/>
      <c r="S17" s="149"/>
    </row>
    <row r="18" spans="2:19" ht="15.75" customHeight="1" x14ac:dyDescent="0.3">
      <c r="B18" s="221" t="s">
        <v>224</v>
      </c>
      <c r="C18" s="219"/>
      <c r="D18" s="219"/>
      <c r="E18" s="149"/>
      <c r="F18" s="150">
        <v>3.2</v>
      </c>
      <c r="G18" s="150"/>
      <c r="H18" s="27" t="s">
        <v>194</v>
      </c>
      <c r="I18" s="151" t="s">
        <v>225</v>
      </c>
      <c r="J18" s="151" t="s">
        <v>226</v>
      </c>
      <c r="K18" s="151" t="s">
        <v>227</v>
      </c>
      <c r="L18" s="151" t="s">
        <v>228</v>
      </c>
      <c r="M18" s="151" t="s">
        <v>229</v>
      </c>
      <c r="N18" s="151" t="e">
        <f ca="1">_xludf.CONCAT(M18,M19)</f>
        <v>#NAME?</v>
      </c>
      <c r="O18" s="151" t="e">
        <f ca="1">_xludf.CONCAT(L18,L19)</f>
        <v>#NAME?</v>
      </c>
      <c r="P18" s="151" t="e">
        <f ca="1">_xludf.CONCAT(K18,K19)</f>
        <v>#NAME?</v>
      </c>
      <c r="Q18" s="151" t="e">
        <f ca="1">_xludf.CONCAT(J18,J19)</f>
        <v>#NAME?</v>
      </c>
      <c r="R18" s="151" t="e">
        <f ca="1">_xludf.CONCAT(I18,I19)</f>
        <v>#NAME?</v>
      </c>
      <c r="S18" s="151" t="e">
        <f ca="1">_xludf.CONCAT(H18,H19)</f>
        <v>#NAME?</v>
      </c>
    </row>
    <row r="19" spans="2:19" ht="15.75" customHeight="1" x14ac:dyDescent="0.25">
      <c r="B19" s="149"/>
      <c r="C19" s="149"/>
      <c r="D19" s="149"/>
      <c r="E19" s="149"/>
      <c r="F19" s="149"/>
      <c r="G19" s="150"/>
      <c r="H19" s="31" t="s">
        <v>186</v>
      </c>
      <c r="I19" s="151"/>
      <c r="J19" s="151"/>
      <c r="K19" s="151" t="s">
        <v>230</v>
      </c>
      <c r="L19" s="151" t="s">
        <v>231</v>
      </c>
      <c r="M19" s="151"/>
      <c r="N19" s="149"/>
      <c r="O19" s="149"/>
      <c r="P19" s="149"/>
      <c r="Q19" s="149"/>
      <c r="R19" s="149"/>
      <c r="S19" s="149"/>
    </row>
    <row r="20" spans="2:19" ht="15.75" customHeight="1" x14ac:dyDescent="0.25">
      <c r="B20" s="149"/>
      <c r="C20" s="149"/>
      <c r="D20" s="149"/>
      <c r="E20" s="149"/>
      <c r="F20" s="149"/>
      <c r="G20" s="150"/>
      <c r="H20" s="151"/>
      <c r="I20" s="150"/>
      <c r="J20" s="150"/>
      <c r="K20" s="150"/>
      <c r="L20" s="150"/>
      <c r="M20" s="150"/>
      <c r="N20" s="149"/>
      <c r="O20" s="149"/>
      <c r="P20" s="149"/>
      <c r="Q20" s="149"/>
      <c r="R20" s="149"/>
      <c r="S20" s="149"/>
    </row>
    <row r="21" spans="2:19" ht="15.75" customHeight="1" x14ac:dyDescent="0.25">
      <c r="B21" s="149"/>
      <c r="C21" s="149"/>
      <c r="D21" s="149"/>
      <c r="E21" s="149"/>
      <c r="F21" s="149"/>
      <c r="G21" s="151"/>
      <c r="H21" s="151"/>
      <c r="I21" s="151"/>
      <c r="J21" s="151"/>
      <c r="K21" s="151"/>
      <c r="L21" s="151"/>
      <c r="M21" s="151"/>
      <c r="N21" s="149"/>
      <c r="O21" s="149"/>
      <c r="P21" s="149"/>
      <c r="Q21" s="149"/>
      <c r="R21" s="149"/>
      <c r="S21" s="149"/>
    </row>
    <row r="22" spans="2:19" ht="15.75" customHeight="1" x14ac:dyDescent="0.25">
      <c r="B22" s="149"/>
      <c r="C22" s="149"/>
      <c r="D22" s="149"/>
      <c r="E22" s="149"/>
      <c r="F22" s="149"/>
      <c r="G22" s="151"/>
      <c r="H22" s="151"/>
      <c r="I22" s="151"/>
      <c r="J22" s="151"/>
      <c r="K22" s="151"/>
      <c r="L22" s="151"/>
      <c r="M22" s="151"/>
      <c r="N22" s="149"/>
      <c r="O22" s="149"/>
      <c r="P22" s="149"/>
      <c r="Q22" s="149"/>
      <c r="R22" s="149"/>
      <c r="S22" s="149"/>
    </row>
    <row r="23" spans="2:19" ht="15.75" customHeight="1" x14ac:dyDescent="0.25">
      <c r="B23" s="149"/>
      <c r="C23" s="149"/>
      <c r="D23" s="149"/>
      <c r="E23" s="149"/>
      <c r="F23" s="149"/>
      <c r="G23" s="149"/>
      <c r="H23" s="149"/>
      <c r="I23" s="149"/>
      <c r="J23" s="149"/>
      <c r="K23" s="149"/>
      <c r="L23" s="149"/>
      <c r="M23" s="149"/>
      <c r="N23" s="149"/>
      <c r="O23" s="149"/>
      <c r="P23" s="149"/>
      <c r="Q23" s="149"/>
      <c r="R23" s="149"/>
      <c r="S23" s="149"/>
    </row>
    <row r="24" spans="2:19" ht="15.75" customHeight="1" x14ac:dyDescent="0.25">
      <c r="B24" s="149"/>
      <c r="C24" s="149"/>
      <c r="D24" s="149"/>
      <c r="E24" s="149"/>
      <c r="F24" s="149"/>
      <c r="G24" s="149"/>
      <c r="H24" s="150" t="s">
        <v>232</v>
      </c>
      <c r="I24" s="150" t="s">
        <v>207</v>
      </c>
      <c r="J24" s="150" t="s">
        <v>233</v>
      </c>
      <c r="K24" s="150" t="s">
        <v>209</v>
      </c>
      <c r="L24" s="150" t="s">
        <v>234</v>
      </c>
      <c r="M24" s="150" t="s">
        <v>235</v>
      </c>
      <c r="N24" s="149"/>
      <c r="O24" s="149"/>
      <c r="P24" s="149"/>
      <c r="Q24" s="149"/>
      <c r="R24" s="149"/>
      <c r="S24" s="149"/>
    </row>
    <row r="25" spans="2:19" ht="15.75" customHeight="1" x14ac:dyDescent="0.3">
      <c r="B25" s="218" t="s">
        <v>236</v>
      </c>
      <c r="C25" s="219"/>
      <c r="D25" s="219"/>
      <c r="E25" s="149"/>
      <c r="F25" s="149"/>
      <c r="G25" s="150" t="s">
        <v>237</v>
      </c>
      <c r="H25" s="152" t="s">
        <v>238</v>
      </c>
      <c r="I25" s="152" t="s">
        <v>239</v>
      </c>
      <c r="J25" s="152" t="s">
        <v>240</v>
      </c>
      <c r="K25" s="152" t="s">
        <v>241</v>
      </c>
      <c r="L25" s="152" t="s">
        <v>242</v>
      </c>
      <c r="M25" s="152" t="s">
        <v>243</v>
      </c>
      <c r="N25" s="149"/>
      <c r="O25" s="149"/>
      <c r="P25" s="149"/>
      <c r="Q25" s="149"/>
      <c r="R25" s="149"/>
      <c r="S25" s="149"/>
    </row>
    <row r="26" spans="2:19" ht="15.75" customHeight="1" x14ac:dyDescent="0.25">
      <c r="B26" s="149"/>
      <c r="C26" s="149"/>
      <c r="D26" s="149"/>
      <c r="E26" s="149"/>
      <c r="F26" s="149"/>
      <c r="G26" s="150" t="s">
        <v>244</v>
      </c>
      <c r="H26" s="149"/>
      <c r="I26" s="149"/>
      <c r="J26" s="149"/>
      <c r="K26" s="149"/>
      <c r="L26" s="149"/>
      <c r="M26" s="149"/>
      <c r="N26" s="149"/>
      <c r="O26" s="149"/>
      <c r="P26" s="149"/>
      <c r="Q26" s="149"/>
      <c r="R26" s="149"/>
      <c r="S26" s="149"/>
    </row>
    <row r="27" spans="2:19" ht="15.75" customHeight="1" x14ac:dyDescent="0.25">
      <c r="B27" s="149"/>
      <c r="C27" s="149"/>
      <c r="D27" s="149"/>
      <c r="E27" s="149"/>
      <c r="F27" s="149"/>
      <c r="G27" s="149"/>
      <c r="H27" s="149"/>
      <c r="I27" s="149"/>
      <c r="J27" s="149"/>
      <c r="K27" s="149"/>
      <c r="L27" s="149"/>
      <c r="M27" s="149"/>
      <c r="N27" s="149"/>
      <c r="O27" s="149"/>
      <c r="P27" s="149"/>
      <c r="Q27" s="149"/>
      <c r="R27" s="149"/>
      <c r="S27" s="149"/>
    </row>
    <row r="28" spans="2:19" ht="15.75" customHeight="1" x14ac:dyDescent="0.25">
      <c r="B28" s="149"/>
      <c r="C28" s="149"/>
      <c r="D28" s="149"/>
      <c r="E28" s="149"/>
      <c r="F28" s="149"/>
      <c r="G28" s="149"/>
      <c r="H28" s="149"/>
      <c r="I28" s="149"/>
      <c r="J28" s="149"/>
      <c r="K28" s="149"/>
      <c r="L28" s="149"/>
      <c r="M28" s="149"/>
      <c r="N28" s="149"/>
      <c r="O28" s="149"/>
      <c r="P28" s="149"/>
      <c r="Q28" s="149"/>
      <c r="R28" s="149"/>
      <c r="S28" s="149"/>
    </row>
    <row r="29" spans="2:19" ht="15.75" customHeight="1" x14ac:dyDescent="0.25">
      <c r="B29" s="149"/>
      <c r="C29" s="149"/>
      <c r="D29" s="149"/>
      <c r="E29" s="149"/>
      <c r="F29" s="149"/>
      <c r="G29" s="149"/>
      <c r="H29" s="149"/>
      <c r="I29" s="149"/>
      <c r="J29" s="149"/>
      <c r="K29" s="149"/>
      <c r="L29" s="149"/>
      <c r="M29" s="149"/>
      <c r="N29" s="149"/>
      <c r="O29" s="149"/>
      <c r="P29" s="149"/>
      <c r="Q29" s="149"/>
      <c r="R29" s="149"/>
      <c r="S29" s="149"/>
    </row>
    <row r="30" spans="2:19" ht="15.75" customHeight="1" x14ac:dyDescent="0.25">
      <c r="B30" s="149"/>
      <c r="C30" s="149"/>
      <c r="D30" s="149"/>
      <c r="E30" s="149"/>
      <c r="F30" s="149"/>
      <c r="G30" s="149"/>
      <c r="H30" s="149"/>
      <c r="I30" s="149"/>
      <c r="J30" s="149"/>
      <c r="K30" s="149"/>
      <c r="L30" s="149"/>
      <c r="M30" s="149"/>
      <c r="N30" s="149"/>
      <c r="O30" s="149"/>
      <c r="P30" s="149"/>
      <c r="Q30" s="149"/>
      <c r="R30" s="149"/>
      <c r="S30" s="149"/>
    </row>
    <row r="31" spans="2:19" ht="15.75" customHeight="1" x14ac:dyDescent="0.25">
      <c r="B31" s="149"/>
      <c r="C31" s="149"/>
      <c r="D31" s="149"/>
      <c r="E31" s="149"/>
      <c r="F31" s="149"/>
      <c r="G31" s="149"/>
      <c r="H31" s="149"/>
      <c r="I31" s="149"/>
      <c r="J31" s="149"/>
      <c r="K31" s="149"/>
      <c r="L31" s="149"/>
      <c r="M31" s="149"/>
      <c r="N31" s="149"/>
      <c r="O31" s="149"/>
      <c r="P31" s="149"/>
      <c r="Q31" s="149"/>
      <c r="R31" s="149"/>
      <c r="S31" s="149"/>
    </row>
    <row r="32" spans="2:19" ht="15.75" customHeight="1" x14ac:dyDescent="0.25">
      <c r="B32" s="149"/>
      <c r="C32" s="149"/>
      <c r="D32" s="149"/>
      <c r="E32" s="149"/>
      <c r="F32" s="149"/>
      <c r="G32" s="149"/>
      <c r="H32" s="149"/>
      <c r="I32" s="149"/>
      <c r="J32" s="149"/>
      <c r="K32" s="149"/>
      <c r="L32" s="149"/>
      <c r="M32" s="149"/>
      <c r="N32" s="149"/>
      <c r="O32" s="149"/>
      <c r="P32" s="149"/>
      <c r="Q32" s="149"/>
      <c r="R32" s="149"/>
      <c r="S32" s="149"/>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B25:D25"/>
    <mergeCell ref="B2:D2"/>
    <mergeCell ref="B5:D5"/>
    <mergeCell ref="B14:D14"/>
    <mergeCell ref="B8:D8"/>
    <mergeCell ref="B18:D18"/>
    <mergeCell ref="B13:D13"/>
    <mergeCell ref="B7:D7"/>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H2"/>
    </sheetView>
  </sheetViews>
  <sheetFormatPr defaultColWidth="12.44140625" defaultRowHeight="15" customHeight="1" x14ac:dyDescent="0.25"/>
  <cols>
    <col min="1" max="1" width="8.6640625" customWidth="1"/>
    <col min="2" max="2" width="23.6640625" customWidth="1"/>
    <col min="3" max="3" width="115.6640625" customWidth="1"/>
    <col min="4" max="4" width="15.44140625" customWidth="1"/>
    <col min="5" max="5" width="12.44140625" customWidth="1"/>
    <col min="6" max="6" width="13.6640625" customWidth="1"/>
    <col min="7" max="7" width="14.109375" customWidth="1"/>
    <col min="8" max="8" width="11.44140625" customWidth="1"/>
    <col min="9" max="26" width="8.6640625" customWidth="1"/>
  </cols>
  <sheetData>
    <row r="1" spans="1:26" ht="12.75" customHeight="1" x14ac:dyDescent="0.25">
      <c r="A1" s="222" t="s">
        <v>245</v>
      </c>
      <c r="B1" s="223"/>
      <c r="C1" s="223"/>
      <c r="D1" s="223"/>
      <c r="E1" s="223"/>
      <c r="F1" s="223"/>
      <c r="G1" s="223"/>
      <c r="H1" s="224"/>
      <c r="I1" s="154"/>
      <c r="J1" s="154"/>
      <c r="K1" s="154"/>
      <c r="L1" s="154"/>
      <c r="M1" s="154"/>
      <c r="N1" s="154"/>
      <c r="O1" s="154"/>
      <c r="P1" s="154"/>
      <c r="Q1" s="154"/>
      <c r="R1" s="154"/>
      <c r="S1" s="154"/>
      <c r="T1" s="154"/>
      <c r="U1" s="154"/>
      <c r="V1" s="154"/>
      <c r="W1" s="154"/>
      <c r="X1" s="154"/>
      <c r="Y1" s="154"/>
      <c r="Z1" s="154"/>
    </row>
    <row r="2" spans="1:26" ht="12.75" customHeight="1" x14ac:dyDescent="0.25">
      <c r="A2" s="225"/>
      <c r="B2" s="219"/>
      <c r="C2" s="219"/>
      <c r="D2" s="219"/>
      <c r="E2" s="219"/>
      <c r="F2" s="219"/>
      <c r="G2" s="219"/>
      <c r="H2" s="226"/>
      <c r="I2" s="154"/>
      <c r="J2" s="154"/>
      <c r="K2" s="154"/>
      <c r="L2" s="154"/>
      <c r="M2" s="154"/>
      <c r="N2" s="154"/>
      <c r="O2" s="154"/>
      <c r="P2" s="154"/>
      <c r="Q2" s="154"/>
      <c r="R2" s="154"/>
      <c r="S2" s="154"/>
      <c r="T2" s="154"/>
      <c r="U2" s="154"/>
      <c r="V2" s="154"/>
      <c r="W2" s="154"/>
      <c r="X2" s="154"/>
      <c r="Y2" s="154"/>
      <c r="Z2" s="154"/>
    </row>
    <row r="3" spans="1:26" ht="15.75" customHeight="1" x14ac:dyDescent="0.25">
      <c r="A3" s="227" t="s">
        <v>246</v>
      </c>
      <c r="B3" s="219"/>
      <c r="C3" s="35" t="s">
        <v>120</v>
      </c>
      <c r="D3" s="228" t="s">
        <v>150</v>
      </c>
      <c r="E3" s="219"/>
      <c r="F3" s="219"/>
      <c r="G3" s="219"/>
      <c r="H3" s="226"/>
      <c r="I3" s="154"/>
      <c r="J3" s="154"/>
      <c r="K3" s="229" t="s">
        <v>247</v>
      </c>
      <c r="L3" s="219"/>
      <c r="M3" s="219"/>
      <c r="N3" s="219"/>
      <c r="O3" s="36"/>
      <c r="P3" s="154"/>
      <c r="Q3" s="154"/>
      <c r="R3" s="154"/>
      <c r="S3" s="154"/>
      <c r="T3" s="154"/>
      <c r="U3" s="154"/>
      <c r="V3" s="154"/>
      <c r="W3" s="154"/>
      <c r="X3" s="154"/>
      <c r="Y3" s="154"/>
      <c r="Z3" s="154"/>
    </row>
    <row r="4" spans="1:26" ht="12.75" customHeight="1" x14ac:dyDescent="0.25">
      <c r="A4" s="1"/>
      <c r="B4" s="2"/>
      <c r="C4" s="2"/>
      <c r="D4" s="3">
        <v>1</v>
      </c>
      <c r="E4" s="4">
        <v>2</v>
      </c>
      <c r="F4" s="4">
        <v>3</v>
      </c>
      <c r="G4" s="4">
        <v>4</v>
      </c>
      <c r="H4" s="5">
        <v>5</v>
      </c>
      <c r="I4" s="154"/>
      <c r="J4" s="154"/>
      <c r="K4" s="154"/>
      <c r="L4" s="154"/>
      <c r="M4" s="154"/>
      <c r="N4" s="154"/>
      <c r="O4" s="154"/>
      <c r="P4" s="154"/>
      <c r="Q4" s="154"/>
      <c r="R4" s="154"/>
      <c r="S4" s="154"/>
      <c r="T4" s="154"/>
      <c r="U4" s="154"/>
      <c r="V4" s="154"/>
      <c r="W4" s="154"/>
      <c r="X4" s="154"/>
      <c r="Y4" s="154"/>
      <c r="Z4" s="154"/>
    </row>
    <row r="5" spans="1:26" ht="12.75" customHeight="1" x14ac:dyDescent="0.25">
      <c r="A5" s="6"/>
      <c r="B5" s="154"/>
      <c r="C5" s="154"/>
      <c r="D5" s="7" t="s">
        <v>248</v>
      </c>
      <c r="E5" s="155" t="s">
        <v>249</v>
      </c>
      <c r="F5" s="155" t="s">
        <v>161</v>
      </c>
      <c r="G5" s="155" t="s">
        <v>164</v>
      </c>
      <c r="H5" s="8" t="s">
        <v>167</v>
      </c>
      <c r="I5" s="154"/>
      <c r="J5" s="154"/>
      <c r="K5" s="154"/>
      <c r="L5" s="154"/>
      <c r="M5" s="154"/>
      <c r="N5" s="154"/>
      <c r="O5" s="154"/>
      <c r="P5" s="154"/>
      <c r="Q5" s="154"/>
      <c r="R5" s="154"/>
      <c r="S5" s="154"/>
      <c r="T5" s="154"/>
      <c r="U5" s="154"/>
      <c r="V5" s="154"/>
      <c r="W5" s="154"/>
      <c r="X5" s="154"/>
      <c r="Y5" s="154"/>
      <c r="Z5" s="154"/>
    </row>
    <row r="6" spans="1:26" ht="12.75" customHeight="1" x14ac:dyDescent="0.25">
      <c r="A6" s="6"/>
      <c r="B6" s="154"/>
      <c r="C6" s="154"/>
      <c r="D6" s="9"/>
      <c r="E6" s="156"/>
      <c r="F6" s="156"/>
      <c r="G6" s="156"/>
      <c r="H6" s="10"/>
      <c r="I6" s="154"/>
      <c r="J6" s="154"/>
      <c r="K6" s="154"/>
      <c r="L6" s="154"/>
      <c r="M6" s="154"/>
      <c r="N6" s="154"/>
      <c r="O6" s="154"/>
      <c r="P6" s="154"/>
      <c r="Q6" s="154"/>
      <c r="R6" s="154"/>
      <c r="S6" s="154"/>
      <c r="T6" s="154"/>
      <c r="U6" s="154"/>
      <c r="V6" s="154"/>
      <c r="W6" s="154"/>
      <c r="X6" s="154"/>
      <c r="Y6" s="154"/>
      <c r="Z6" s="154"/>
    </row>
    <row r="7" spans="1:26" ht="39.75" customHeight="1" x14ac:dyDescent="0.25">
      <c r="A7" s="11">
        <v>1</v>
      </c>
      <c r="B7" s="12" t="s">
        <v>130</v>
      </c>
      <c r="C7" s="12" t="s">
        <v>250</v>
      </c>
      <c r="D7" s="13" t="s">
        <v>251</v>
      </c>
      <c r="E7" s="14" t="s">
        <v>251</v>
      </c>
      <c r="F7" s="14" t="s">
        <v>251</v>
      </c>
      <c r="G7" s="13" t="s">
        <v>251</v>
      </c>
      <c r="H7" s="13" t="s">
        <v>251</v>
      </c>
      <c r="I7" s="15"/>
      <c r="J7" s="15"/>
      <c r="K7" s="15"/>
      <c r="L7" s="15"/>
      <c r="M7" s="15"/>
      <c r="N7" s="15"/>
      <c r="O7" s="15"/>
      <c r="P7" s="15"/>
      <c r="Q7" s="15"/>
      <c r="R7" s="15"/>
      <c r="S7" s="15"/>
      <c r="T7" s="15"/>
      <c r="U7" s="15"/>
      <c r="V7" s="15"/>
      <c r="W7" s="15"/>
      <c r="X7" s="15"/>
      <c r="Y7" s="15"/>
      <c r="Z7" s="15"/>
    </row>
    <row r="8" spans="1:26" ht="39.75" customHeight="1" x14ac:dyDescent="0.25">
      <c r="A8" s="11">
        <v>2</v>
      </c>
      <c r="B8" s="12" t="s">
        <v>132</v>
      </c>
      <c r="C8" s="12" t="s">
        <v>252</v>
      </c>
      <c r="D8" s="13" t="s">
        <v>251</v>
      </c>
      <c r="E8" s="14" t="s">
        <v>251</v>
      </c>
      <c r="F8" s="14" t="s">
        <v>251</v>
      </c>
      <c r="G8" s="13"/>
      <c r="H8" s="13" t="s">
        <v>251</v>
      </c>
      <c r="I8" s="15"/>
      <c r="J8" s="15"/>
      <c r="K8" s="15"/>
      <c r="L8" s="15"/>
      <c r="M8" s="15"/>
      <c r="N8" s="15"/>
      <c r="O8" s="15"/>
      <c r="P8" s="15"/>
      <c r="Q8" s="15"/>
      <c r="R8" s="15"/>
      <c r="S8" s="15"/>
      <c r="T8" s="15"/>
      <c r="U8" s="15"/>
      <c r="V8" s="15"/>
      <c r="W8" s="15"/>
      <c r="X8" s="15"/>
      <c r="Y8" s="15"/>
      <c r="Z8" s="15"/>
    </row>
    <row r="9" spans="1:26" ht="39.75" customHeight="1" x14ac:dyDescent="0.25">
      <c r="A9" s="16">
        <v>9</v>
      </c>
      <c r="B9" s="17" t="s">
        <v>123</v>
      </c>
      <c r="C9" s="18" t="s">
        <v>253</v>
      </c>
      <c r="D9" s="19" t="s">
        <v>251</v>
      </c>
      <c r="E9" s="20" t="s">
        <v>251</v>
      </c>
      <c r="F9" s="20" t="s">
        <v>251</v>
      </c>
      <c r="G9" s="19" t="s">
        <v>251</v>
      </c>
      <c r="H9" s="19"/>
      <c r="I9" s="15"/>
      <c r="J9" s="15"/>
      <c r="K9" s="15"/>
      <c r="L9" s="15"/>
      <c r="M9" s="15"/>
      <c r="N9" s="15"/>
      <c r="O9" s="15"/>
      <c r="P9" s="15"/>
      <c r="Q9" s="15"/>
      <c r="R9" s="15"/>
      <c r="S9" s="15"/>
      <c r="T9" s="15"/>
      <c r="U9" s="15"/>
      <c r="V9" s="15"/>
      <c r="W9" s="15"/>
      <c r="X9" s="15"/>
      <c r="Y9" s="15"/>
      <c r="Z9" s="15"/>
    </row>
    <row r="10" spans="1:26" ht="39.75" customHeight="1" x14ac:dyDescent="0.25">
      <c r="A10" s="16">
        <v>10</v>
      </c>
      <c r="B10" s="17" t="s">
        <v>125</v>
      </c>
      <c r="C10" s="18" t="s">
        <v>254</v>
      </c>
      <c r="D10" s="19" t="s">
        <v>251</v>
      </c>
      <c r="E10" s="20" t="s">
        <v>251</v>
      </c>
      <c r="F10" s="20" t="s">
        <v>251</v>
      </c>
      <c r="G10" s="19" t="s">
        <v>251</v>
      </c>
      <c r="H10" s="19" t="s">
        <v>251</v>
      </c>
      <c r="I10" s="15"/>
      <c r="J10" s="15"/>
      <c r="K10" s="15"/>
      <c r="L10" s="15"/>
      <c r="M10" s="15"/>
      <c r="N10" s="15"/>
      <c r="O10" s="15"/>
      <c r="P10" s="15"/>
      <c r="Q10" s="15"/>
      <c r="R10" s="15"/>
      <c r="S10" s="15"/>
      <c r="T10" s="15"/>
      <c r="U10" s="15"/>
      <c r="V10" s="15"/>
      <c r="W10" s="15"/>
      <c r="X10" s="15"/>
      <c r="Y10" s="15"/>
      <c r="Z10" s="15"/>
    </row>
    <row r="11" spans="1:26" ht="39.75" customHeight="1" x14ac:dyDescent="0.25">
      <c r="A11" s="21">
        <v>11</v>
      </c>
      <c r="B11" s="17" t="s">
        <v>127</v>
      </c>
      <c r="C11" s="18" t="s">
        <v>255</v>
      </c>
      <c r="D11" s="22" t="s">
        <v>251</v>
      </c>
      <c r="E11" s="23" t="s">
        <v>251</v>
      </c>
      <c r="F11" s="23" t="s">
        <v>251</v>
      </c>
      <c r="G11" s="22" t="s">
        <v>251</v>
      </c>
      <c r="H11" s="22" t="s">
        <v>251</v>
      </c>
      <c r="I11" s="154"/>
      <c r="J11" s="154"/>
      <c r="K11" s="154"/>
      <c r="L11" s="154"/>
      <c r="M11" s="154"/>
      <c r="N11" s="154"/>
      <c r="O11" s="154"/>
      <c r="P11" s="154"/>
      <c r="Q11" s="154"/>
      <c r="R11" s="154"/>
      <c r="S11" s="154"/>
      <c r="T11" s="154"/>
      <c r="U11" s="154"/>
      <c r="V11" s="154"/>
      <c r="W11" s="154"/>
      <c r="X11" s="154"/>
      <c r="Y11" s="154"/>
      <c r="Z11" s="154"/>
    </row>
    <row r="12" spans="1:26" ht="12.75" customHeight="1" x14ac:dyDescent="0.25">
      <c r="A12" s="154"/>
      <c r="B12" s="154"/>
      <c r="C12" s="154"/>
      <c r="D12" s="154"/>
      <c r="E12" s="154"/>
      <c r="F12" s="154"/>
      <c r="G12" s="154"/>
      <c r="H12" s="154"/>
      <c r="I12" s="154"/>
      <c r="J12" s="154"/>
      <c r="K12" s="154"/>
      <c r="L12" s="154"/>
      <c r="M12" s="154"/>
      <c r="N12" s="154"/>
      <c r="O12" s="154"/>
      <c r="P12" s="154"/>
      <c r="Q12" s="154"/>
      <c r="R12" s="154"/>
      <c r="S12" s="154"/>
      <c r="T12" s="154"/>
      <c r="U12" s="154"/>
      <c r="V12" s="154"/>
      <c r="W12" s="154"/>
      <c r="X12" s="154"/>
      <c r="Y12" s="154"/>
      <c r="Z12" s="154"/>
    </row>
    <row r="13" spans="1:26" ht="12.75" customHeight="1" x14ac:dyDescent="0.25">
      <c r="A13" s="154"/>
      <c r="B13" s="154"/>
      <c r="C13" s="154"/>
      <c r="D13" s="154"/>
      <c r="E13" s="154"/>
      <c r="F13" s="154"/>
      <c r="G13" s="154"/>
      <c r="H13" s="154"/>
      <c r="I13" s="154"/>
      <c r="J13" s="154"/>
      <c r="K13" s="154"/>
      <c r="L13" s="154"/>
      <c r="M13" s="154"/>
      <c r="N13" s="154"/>
      <c r="O13" s="154"/>
      <c r="P13" s="154"/>
      <c r="Q13" s="154"/>
      <c r="R13" s="154"/>
      <c r="S13" s="154"/>
      <c r="T13" s="154"/>
      <c r="U13" s="154"/>
      <c r="V13" s="154"/>
      <c r="W13" s="154"/>
      <c r="X13" s="154"/>
      <c r="Y13" s="154"/>
      <c r="Z13" s="154"/>
    </row>
    <row r="14" spans="1:26" ht="12.75" customHeight="1" x14ac:dyDescent="0.25">
      <c r="A14" s="154"/>
      <c r="B14" s="154"/>
      <c r="C14" s="154"/>
      <c r="D14" s="154"/>
      <c r="E14" s="154"/>
      <c r="F14" s="154"/>
      <c r="G14" s="154"/>
      <c r="H14" s="154"/>
      <c r="I14" s="154"/>
      <c r="J14" s="154"/>
      <c r="K14" s="154"/>
      <c r="L14" s="154"/>
      <c r="M14" s="154"/>
      <c r="N14" s="154"/>
      <c r="O14" s="154"/>
      <c r="P14" s="154"/>
      <c r="Q14" s="154"/>
      <c r="R14" s="154"/>
      <c r="S14" s="154"/>
      <c r="T14" s="154"/>
      <c r="U14" s="154"/>
      <c r="V14" s="154"/>
      <c r="W14" s="154"/>
      <c r="X14" s="154"/>
      <c r="Y14" s="154"/>
      <c r="Z14" s="154"/>
    </row>
    <row r="15" spans="1:26" ht="12.75" customHeight="1" x14ac:dyDescent="0.25">
      <c r="A15" s="154"/>
      <c r="B15" s="154"/>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row>
    <row r="16" spans="1:26" ht="12.75" customHeight="1" x14ac:dyDescent="0.25">
      <c r="A16" s="154"/>
      <c r="B16" s="154"/>
      <c r="C16" s="154"/>
      <c r="D16" s="154"/>
      <c r="E16" s="154"/>
      <c r="F16" s="154"/>
      <c r="G16" s="154"/>
      <c r="H16" s="154"/>
      <c r="I16" s="154"/>
      <c r="J16" s="154"/>
      <c r="K16" s="154"/>
      <c r="L16" s="154"/>
      <c r="M16" s="154"/>
      <c r="N16" s="154"/>
      <c r="O16" s="154"/>
      <c r="P16" s="154"/>
      <c r="Q16" s="154"/>
      <c r="R16" s="154"/>
      <c r="S16" s="154"/>
      <c r="T16" s="154"/>
      <c r="U16" s="154"/>
      <c r="V16" s="154"/>
      <c r="W16" s="154"/>
      <c r="X16" s="154"/>
      <c r="Y16" s="154"/>
      <c r="Z16" s="154"/>
    </row>
    <row r="17" spans="1:26" ht="12.75" customHeight="1" x14ac:dyDescent="0.25">
      <c r="A17" s="154"/>
      <c r="B17" s="154"/>
      <c r="C17" s="154"/>
      <c r="D17" s="154"/>
      <c r="E17" s="154"/>
      <c r="F17" s="154"/>
      <c r="G17" s="154"/>
      <c r="H17" s="154"/>
      <c r="I17" s="154"/>
      <c r="J17" s="154"/>
      <c r="K17" s="154"/>
      <c r="L17" s="154"/>
      <c r="M17" s="154"/>
      <c r="N17" s="154"/>
      <c r="O17" s="154"/>
      <c r="P17" s="154"/>
      <c r="Q17" s="154"/>
      <c r="R17" s="154"/>
      <c r="S17" s="154"/>
      <c r="T17" s="154"/>
      <c r="U17" s="154"/>
      <c r="V17" s="154"/>
      <c r="W17" s="154"/>
      <c r="X17" s="154"/>
      <c r="Y17" s="154"/>
      <c r="Z17" s="154"/>
    </row>
    <row r="18" spans="1:26" ht="12.75" customHeight="1" x14ac:dyDescent="0.25">
      <c r="A18" s="154"/>
      <c r="B18" s="154"/>
      <c r="C18" s="154"/>
      <c r="D18" s="154"/>
      <c r="E18" s="154"/>
      <c r="F18" s="154"/>
      <c r="G18" s="154"/>
      <c r="H18" s="154"/>
      <c r="I18" s="154"/>
      <c r="J18" s="154"/>
      <c r="K18" s="154"/>
      <c r="L18" s="154"/>
      <c r="M18" s="154"/>
      <c r="N18" s="154"/>
      <c r="O18" s="154"/>
      <c r="P18" s="154"/>
      <c r="Q18" s="154"/>
      <c r="R18" s="154"/>
      <c r="S18" s="154"/>
      <c r="T18" s="154"/>
      <c r="U18" s="154"/>
      <c r="V18" s="154"/>
      <c r="W18" s="154"/>
      <c r="X18" s="154"/>
      <c r="Y18" s="154"/>
      <c r="Z18" s="154"/>
    </row>
    <row r="19" spans="1:26" ht="12.75" customHeight="1" x14ac:dyDescent="0.25">
      <c r="A19" s="154"/>
      <c r="B19" s="154"/>
      <c r="C19" s="154"/>
      <c r="D19" s="154"/>
      <c r="E19" s="154"/>
      <c r="F19" s="154"/>
      <c r="G19" s="154"/>
      <c r="H19" s="154"/>
      <c r="I19" s="154"/>
      <c r="J19" s="154"/>
      <c r="K19" s="154"/>
      <c r="L19" s="154"/>
      <c r="M19" s="154"/>
      <c r="N19" s="154"/>
      <c r="O19" s="154"/>
      <c r="P19" s="154"/>
      <c r="Q19" s="154"/>
      <c r="R19" s="154"/>
      <c r="S19" s="154"/>
      <c r="T19" s="154"/>
      <c r="U19" s="154"/>
      <c r="V19" s="154"/>
      <c r="W19" s="154"/>
      <c r="X19" s="154"/>
      <c r="Y19" s="154"/>
      <c r="Z19" s="154"/>
    </row>
    <row r="20" spans="1:26" ht="12.75" customHeight="1" x14ac:dyDescent="0.25">
      <c r="A20" s="154"/>
      <c r="B20" s="154"/>
      <c r="C20" s="154"/>
      <c r="D20" s="154"/>
      <c r="E20" s="154"/>
      <c r="F20" s="154"/>
      <c r="G20" s="154"/>
      <c r="H20" s="154"/>
      <c r="I20" s="154"/>
      <c r="J20" s="154"/>
      <c r="K20" s="154"/>
      <c r="L20" s="154"/>
      <c r="M20" s="154"/>
      <c r="N20" s="154"/>
      <c r="O20" s="154"/>
      <c r="P20" s="154"/>
      <c r="Q20" s="154"/>
      <c r="R20" s="154"/>
      <c r="S20" s="154"/>
      <c r="T20" s="154"/>
      <c r="U20" s="154"/>
      <c r="V20" s="154"/>
      <c r="W20" s="154"/>
      <c r="X20" s="154"/>
      <c r="Y20" s="154"/>
      <c r="Z20" s="154"/>
    </row>
    <row r="21" spans="1:26" ht="12.75" customHeight="1" x14ac:dyDescent="0.25">
      <c r="A21" s="154"/>
      <c r="B21" s="154"/>
      <c r="C21" s="154"/>
      <c r="D21" s="154"/>
      <c r="E21" s="154"/>
      <c r="F21" s="154"/>
      <c r="G21" s="154"/>
      <c r="H21" s="154"/>
      <c r="I21" s="154"/>
      <c r="J21" s="154"/>
      <c r="K21" s="154"/>
      <c r="L21" s="154"/>
      <c r="M21" s="154"/>
      <c r="N21" s="154"/>
      <c r="O21" s="154"/>
      <c r="P21" s="154"/>
      <c r="Q21" s="154"/>
      <c r="R21" s="154"/>
      <c r="S21" s="154"/>
      <c r="T21" s="154"/>
      <c r="U21" s="154"/>
      <c r="V21" s="154"/>
      <c r="W21" s="154"/>
      <c r="X21" s="154"/>
      <c r="Y21" s="154"/>
      <c r="Z21" s="154"/>
    </row>
    <row r="22" spans="1:26" ht="12.75" customHeight="1" x14ac:dyDescent="0.25">
      <c r="A22" s="154"/>
      <c r="B22" s="154"/>
      <c r="C22" s="154"/>
      <c r="D22" s="154"/>
      <c r="E22" s="154"/>
      <c r="F22" s="154"/>
      <c r="G22" s="154"/>
      <c r="H22" s="154"/>
      <c r="I22" s="154"/>
      <c r="J22" s="154"/>
      <c r="K22" s="154"/>
      <c r="L22" s="154"/>
      <c r="M22" s="154"/>
      <c r="N22" s="154"/>
      <c r="O22" s="154"/>
      <c r="P22" s="154"/>
      <c r="Q22" s="154"/>
      <c r="R22" s="154"/>
      <c r="S22" s="154"/>
      <c r="T22" s="154"/>
      <c r="U22" s="154"/>
      <c r="V22" s="154"/>
      <c r="W22" s="154"/>
      <c r="X22" s="154"/>
      <c r="Y22" s="154"/>
      <c r="Z22" s="154"/>
    </row>
    <row r="23" spans="1:26" ht="12.75" customHeight="1" x14ac:dyDescent="0.25">
      <c r="A23" s="154"/>
      <c r="B23" s="154"/>
      <c r="C23" s="154"/>
      <c r="D23" s="154"/>
      <c r="E23" s="154"/>
      <c r="F23" s="154"/>
      <c r="G23" s="154"/>
      <c r="H23" s="154"/>
      <c r="I23" s="154"/>
      <c r="J23" s="154"/>
      <c r="K23" s="154"/>
      <c r="L23" s="154"/>
      <c r="M23" s="154"/>
      <c r="N23" s="154"/>
      <c r="O23" s="154"/>
      <c r="P23" s="154"/>
      <c r="Q23" s="154"/>
      <c r="R23" s="154"/>
      <c r="S23" s="154"/>
      <c r="T23" s="154"/>
      <c r="U23" s="154"/>
      <c r="V23" s="154"/>
      <c r="W23" s="154"/>
      <c r="X23" s="154"/>
      <c r="Y23" s="154"/>
      <c r="Z23" s="154"/>
    </row>
    <row r="24" spans="1:26" ht="12.75" customHeight="1" x14ac:dyDescent="0.25">
      <c r="A24" s="154"/>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row>
    <row r="25" spans="1:26" ht="12.75" customHeight="1" x14ac:dyDescent="0.25">
      <c r="A25" s="154"/>
      <c r="B25" s="154"/>
      <c r="C25" s="154"/>
      <c r="D25" s="154"/>
      <c r="E25" s="154"/>
      <c r="F25" s="154"/>
      <c r="G25" s="154"/>
      <c r="H25" s="154"/>
      <c r="I25" s="154"/>
      <c r="J25" s="154"/>
      <c r="K25" s="154"/>
      <c r="L25" s="154"/>
      <c r="M25" s="154"/>
      <c r="N25" s="154"/>
      <c r="O25" s="154"/>
      <c r="P25" s="154"/>
      <c r="Q25" s="154"/>
      <c r="R25" s="154"/>
      <c r="S25" s="154"/>
      <c r="T25" s="154"/>
      <c r="U25" s="154"/>
      <c r="V25" s="154"/>
      <c r="W25" s="154"/>
      <c r="X25" s="154"/>
      <c r="Y25" s="154"/>
      <c r="Z25" s="154"/>
    </row>
    <row r="26" spans="1:26" ht="12.75" customHeight="1" x14ac:dyDescent="0.25">
      <c r="A26" s="154"/>
      <c r="B26" s="154"/>
      <c r="C26" s="154"/>
      <c r="D26" s="154"/>
      <c r="E26" s="154"/>
      <c r="F26" s="154"/>
      <c r="G26" s="154"/>
      <c r="H26" s="154"/>
      <c r="I26" s="154"/>
      <c r="J26" s="154"/>
      <c r="K26" s="154"/>
      <c r="L26" s="154"/>
      <c r="M26" s="154"/>
      <c r="N26" s="154"/>
      <c r="O26" s="154"/>
      <c r="P26" s="154"/>
      <c r="Q26" s="154"/>
      <c r="R26" s="154"/>
      <c r="S26" s="154"/>
      <c r="T26" s="154"/>
      <c r="U26" s="154"/>
      <c r="V26" s="154"/>
      <c r="W26" s="154"/>
      <c r="X26" s="154"/>
      <c r="Y26" s="154"/>
      <c r="Z26" s="154"/>
    </row>
    <row r="27" spans="1:26" ht="12.75" customHeight="1" x14ac:dyDescent="0.25">
      <c r="A27" s="154"/>
      <c r="B27" s="154"/>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row>
    <row r="28" spans="1:26" ht="12.75" customHeight="1" x14ac:dyDescent="0.25">
      <c r="A28" s="154"/>
      <c r="B28" s="154"/>
      <c r="C28" s="154"/>
      <c r="D28" s="154"/>
      <c r="E28" s="154"/>
      <c r="F28" s="154"/>
      <c r="G28" s="154"/>
      <c r="H28" s="154"/>
      <c r="I28" s="154"/>
      <c r="J28" s="154"/>
      <c r="K28" s="154"/>
      <c r="L28" s="154"/>
      <c r="M28" s="154"/>
      <c r="N28" s="154"/>
      <c r="O28" s="154"/>
      <c r="P28" s="154"/>
      <c r="Q28" s="154"/>
      <c r="R28" s="154"/>
      <c r="S28" s="154"/>
      <c r="T28" s="154"/>
      <c r="U28" s="154"/>
      <c r="V28" s="154"/>
      <c r="W28" s="154"/>
      <c r="X28" s="154"/>
      <c r="Y28" s="154"/>
      <c r="Z28" s="154"/>
    </row>
    <row r="29" spans="1:26" ht="12.75" customHeight="1" x14ac:dyDescent="0.25">
      <c r="A29" s="154"/>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row>
    <row r="30" spans="1:26" ht="12.75" customHeight="1" x14ac:dyDescent="0.25">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row>
    <row r="31" spans="1:26" ht="12.75" customHeight="1" x14ac:dyDescent="0.25">
      <c r="A31" s="154"/>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row>
    <row r="32" spans="1:26" ht="12.75" customHeight="1" x14ac:dyDescent="0.25">
      <c r="A32" s="154"/>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row>
    <row r="33" spans="1:26" ht="12.75" customHeight="1" x14ac:dyDescent="0.25">
      <c r="A33" s="154"/>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row>
    <row r="34" spans="1:26" ht="12.75" customHeight="1" x14ac:dyDescent="0.25">
      <c r="A34" s="154"/>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row>
    <row r="35" spans="1:26" ht="12.75" customHeight="1" x14ac:dyDescent="0.25">
      <c r="A35" s="154"/>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row>
    <row r="36" spans="1:26" ht="12.75" customHeight="1" x14ac:dyDescent="0.25">
      <c r="A36" s="154"/>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row>
    <row r="37" spans="1:26" ht="12.75" customHeight="1" x14ac:dyDescent="0.25">
      <c r="A37" s="154"/>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row>
    <row r="38" spans="1:26" ht="12.75" customHeight="1" x14ac:dyDescent="0.25">
      <c r="A38" s="154"/>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row>
    <row r="39" spans="1:26" ht="12.75" customHeight="1" x14ac:dyDescent="0.25">
      <c r="A39" s="154"/>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row>
    <row r="40" spans="1:26" ht="12.75" customHeight="1" x14ac:dyDescent="0.25">
      <c r="A40" s="154"/>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row>
    <row r="41" spans="1:26" ht="12.75" customHeight="1" x14ac:dyDescent="0.25">
      <c r="A41" s="154"/>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row>
    <row r="42" spans="1:26" ht="12.75" customHeight="1" x14ac:dyDescent="0.25">
      <c r="A42" s="154"/>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row>
    <row r="43" spans="1:26" ht="12.75" customHeight="1" x14ac:dyDescent="0.25">
      <c r="A43" s="154"/>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row>
    <row r="44" spans="1:26" ht="12.75" customHeight="1" x14ac:dyDescent="0.25">
      <c r="A44" s="15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row>
    <row r="45" spans="1:26" ht="12.75" customHeight="1" x14ac:dyDescent="0.25">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row>
    <row r="46" spans="1:26" ht="12.75" customHeight="1" x14ac:dyDescent="0.25">
      <c r="A46" s="15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row>
    <row r="47" spans="1:26" ht="12.75" customHeight="1" x14ac:dyDescent="0.25">
      <c r="A47" s="15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row>
    <row r="48" spans="1:26" ht="12.75" customHeight="1" x14ac:dyDescent="0.25">
      <c r="A48" s="154"/>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row>
    <row r="49" spans="1:26" ht="12.75" customHeight="1" x14ac:dyDescent="0.25">
      <c r="A49" s="154"/>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row>
    <row r="50" spans="1:26" ht="12.75" customHeight="1" x14ac:dyDescent="0.25">
      <c r="A50" s="15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row>
    <row r="51" spans="1:26" ht="12.75" customHeight="1" x14ac:dyDescent="0.25">
      <c r="A51" s="154"/>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row>
    <row r="52" spans="1:26" ht="12.75" customHeight="1" x14ac:dyDescent="0.25">
      <c r="A52" s="15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row>
    <row r="53" spans="1:26" ht="12.75" customHeight="1" x14ac:dyDescent="0.25">
      <c r="A53" s="15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row>
    <row r="54" spans="1:26" ht="12.75" customHeight="1" x14ac:dyDescent="0.25">
      <c r="A54" s="15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row>
    <row r="55" spans="1:26" ht="12.75" customHeight="1" x14ac:dyDescent="0.25">
      <c r="A55" s="15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row>
    <row r="56" spans="1:26" ht="12.75" customHeight="1" x14ac:dyDescent="0.25">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row>
    <row r="57" spans="1:26" ht="12.75" customHeight="1" x14ac:dyDescent="0.25">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row>
    <row r="58" spans="1:26" ht="12.75" customHeight="1" x14ac:dyDescent="0.25">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row>
    <row r="59" spans="1:26" ht="12.75" customHeight="1" x14ac:dyDescent="0.25">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row>
    <row r="60" spans="1:26" ht="12.75" customHeight="1" x14ac:dyDescent="0.25">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row>
    <row r="61" spans="1:26" ht="12.75" customHeight="1" x14ac:dyDescent="0.25">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row>
    <row r="62" spans="1:26" ht="12.75" customHeight="1" x14ac:dyDescent="0.25">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row>
    <row r="63" spans="1:26" ht="12.75" customHeight="1" x14ac:dyDescent="0.25">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row>
    <row r="64" spans="1:26" ht="12.75" customHeight="1" x14ac:dyDescent="0.25">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spans="1:26" ht="12.75" customHeight="1" x14ac:dyDescent="0.25">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row>
    <row r="66" spans="1:26" ht="12.75" customHeight="1" x14ac:dyDescent="0.25">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spans="1:26" ht="12.75" customHeight="1" x14ac:dyDescent="0.25">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row>
    <row r="68" spans="1:26" ht="12.75" customHeight="1" x14ac:dyDescent="0.25">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row>
    <row r="69" spans="1:26" ht="12.75" customHeight="1" x14ac:dyDescent="0.25">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spans="1:26" ht="12.75" customHeight="1" x14ac:dyDescent="0.25">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spans="1:26" ht="12.75" customHeight="1" x14ac:dyDescent="0.25">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spans="1:26" ht="12.75" customHeight="1" x14ac:dyDescent="0.25">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spans="1:26" ht="12.75" customHeight="1" x14ac:dyDescent="0.25">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row>
    <row r="74" spans="1:26" ht="12.75" customHeight="1" x14ac:dyDescent="0.25">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spans="1:26" ht="12.75" customHeight="1" x14ac:dyDescent="0.2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spans="1:26" ht="12.75" customHeight="1" x14ac:dyDescent="0.25">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spans="1:26" ht="12.75" customHeight="1" x14ac:dyDescent="0.25">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row>
    <row r="78" spans="1:26" ht="12.75" customHeight="1" x14ac:dyDescent="0.25">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spans="1:26" ht="12.75" customHeight="1" x14ac:dyDescent="0.25">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spans="1:26" ht="12.75" customHeight="1" x14ac:dyDescent="0.25">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spans="1:26" ht="12.75" customHeight="1" x14ac:dyDescent="0.25">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spans="1:26" ht="12.75" customHeight="1" x14ac:dyDescent="0.25">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spans="1:26" ht="12.75" customHeight="1" x14ac:dyDescent="0.25">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spans="1:26" ht="12.75" customHeight="1" x14ac:dyDescent="0.25">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row>
    <row r="85" spans="1:26" ht="12.75" customHeight="1" x14ac:dyDescent="0.2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row>
    <row r="86" spans="1:26" ht="12.75" customHeight="1" x14ac:dyDescent="0.25">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row>
    <row r="87" spans="1:26" ht="12.75" customHeight="1" x14ac:dyDescent="0.25">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row>
    <row r="88" spans="1:26" ht="12.75" customHeight="1" x14ac:dyDescent="0.25">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row>
    <row r="89" spans="1:26" ht="12.75" customHeight="1" x14ac:dyDescent="0.25">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row>
    <row r="90" spans="1:26" ht="12.75" customHeight="1" x14ac:dyDescent="0.25">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row>
    <row r="91" spans="1:26" ht="12.75" customHeight="1" x14ac:dyDescent="0.25">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row>
    <row r="92" spans="1:26" ht="12.75" customHeight="1" x14ac:dyDescent="0.25">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row>
    <row r="93" spans="1:26" ht="12.75" customHeight="1" x14ac:dyDescent="0.25">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row>
    <row r="94" spans="1:26" ht="12.75" customHeight="1" x14ac:dyDescent="0.25">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row>
    <row r="95" spans="1:26" ht="12.75" customHeight="1" x14ac:dyDescent="0.2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row>
    <row r="96" spans="1:26" ht="12.75" customHeight="1" x14ac:dyDescent="0.25">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row>
    <row r="97" spans="1:26" ht="12.75" customHeight="1" x14ac:dyDescent="0.25">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row>
    <row r="98" spans="1:26" ht="12.75" customHeight="1" x14ac:dyDescent="0.25">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row>
    <row r="99" spans="1:26" ht="12.75" customHeight="1" x14ac:dyDescent="0.25">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row>
    <row r="100" spans="1:26" ht="12.75" customHeight="1" x14ac:dyDescent="0.25">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row>
    <row r="101" spans="1:26" ht="12.75" customHeight="1" x14ac:dyDescent="0.25">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row>
    <row r="102" spans="1:26" ht="12.75" customHeight="1" x14ac:dyDescent="0.25">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row>
    <row r="103" spans="1:26" ht="12.75" customHeight="1" x14ac:dyDescent="0.25">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row>
    <row r="104" spans="1:26" ht="12.75" customHeight="1" x14ac:dyDescent="0.25">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row>
    <row r="105" spans="1:26" ht="12.75" customHeight="1" x14ac:dyDescent="0.2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row>
    <row r="106" spans="1:26" ht="12.75" customHeight="1" x14ac:dyDescent="0.25">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row>
    <row r="107" spans="1:26" ht="12.75" customHeight="1" x14ac:dyDescent="0.25">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row>
    <row r="108" spans="1:26" ht="12.75" customHeight="1" x14ac:dyDescent="0.25">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spans="1:26" ht="12.75" customHeight="1" x14ac:dyDescent="0.25">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spans="1:26" ht="12.75" customHeight="1" x14ac:dyDescent="0.25">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spans="1:26" ht="12.75" customHeight="1" x14ac:dyDescent="0.25">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spans="1:26" ht="12.75" customHeight="1" x14ac:dyDescent="0.25">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spans="1:26" ht="12.75" customHeight="1" x14ac:dyDescent="0.25">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spans="1:26" ht="12.75" customHeight="1" x14ac:dyDescent="0.25">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spans="1:26" ht="12.75" customHeight="1" x14ac:dyDescent="0.2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spans="1:26" ht="12.75" customHeight="1" x14ac:dyDescent="0.25">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spans="1:26" ht="12.75" customHeight="1" x14ac:dyDescent="0.25">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spans="1:26" ht="12.75" customHeight="1" x14ac:dyDescent="0.25">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spans="1:26" ht="12.75" customHeight="1" x14ac:dyDescent="0.25">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spans="1:26" ht="12.75" customHeight="1" x14ac:dyDescent="0.25">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spans="1:26" ht="12.75" customHeight="1" x14ac:dyDescent="0.25">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spans="1:26" ht="12.75" customHeight="1" x14ac:dyDescent="0.25">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spans="1:26" ht="12.75" customHeight="1" x14ac:dyDescent="0.25">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row>
    <row r="124" spans="1:26" ht="12.75" customHeight="1" x14ac:dyDescent="0.25">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row>
    <row r="125" spans="1:26" ht="12.75" customHeight="1" x14ac:dyDescent="0.2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row>
    <row r="126" spans="1:26" ht="12.75" customHeight="1" x14ac:dyDescent="0.25">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row>
    <row r="127" spans="1:26" ht="12.75" customHeight="1" x14ac:dyDescent="0.25">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row>
    <row r="128" spans="1:26" ht="12.75" customHeight="1" x14ac:dyDescent="0.25">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row>
    <row r="129" spans="1:26" ht="12.75" customHeight="1" x14ac:dyDescent="0.25">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row>
    <row r="130" spans="1:26" ht="12.75" customHeight="1" x14ac:dyDescent="0.25">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row>
    <row r="131" spans="1:26" ht="12.75" customHeight="1" x14ac:dyDescent="0.25">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row>
    <row r="132" spans="1:26" ht="12.75" customHeight="1" x14ac:dyDescent="0.25">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row>
    <row r="133" spans="1:26" ht="12.75" customHeight="1" x14ac:dyDescent="0.25">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row>
    <row r="134" spans="1:26" ht="12.75" customHeight="1" x14ac:dyDescent="0.25">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row>
    <row r="135" spans="1:26" ht="12.75" customHeight="1" x14ac:dyDescent="0.2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row>
    <row r="136" spans="1:26" ht="12.75" customHeight="1" x14ac:dyDescent="0.25">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row>
    <row r="137" spans="1:26" ht="12.75" customHeight="1" x14ac:dyDescent="0.25">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row>
    <row r="138" spans="1:26" ht="12.75" customHeight="1" x14ac:dyDescent="0.25">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row>
    <row r="139" spans="1:26" ht="12.75" customHeight="1" x14ac:dyDescent="0.25">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row>
    <row r="140" spans="1:26" ht="12.75" customHeight="1" x14ac:dyDescent="0.25">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row>
    <row r="141" spans="1:26" ht="12.75" customHeight="1" x14ac:dyDescent="0.25">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row>
    <row r="142" spans="1:26" ht="12.75" customHeight="1" x14ac:dyDescent="0.25">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row>
    <row r="143" spans="1:26" ht="12.75" customHeight="1" x14ac:dyDescent="0.25">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row>
    <row r="144" spans="1:26" ht="12.75" customHeight="1" x14ac:dyDescent="0.25">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row>
    <row r="145" spans="1:26" ht="12.75" customHeight="1" x14ac:dyDescent="0.2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row>
    <row r="146" spans="1:26" ht="12.75" customHeight="1" x14ac:dyDescent="0.25">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row>
    <row r="147" spans="1:26" ht="12.75" customHeight="1" x14ac:dyDescent="0.25">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row>
    <row r="148" spans="1:26" ht="12.75" customHeight="1" x14ac:dyDescent="0.25">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row>
    <row r="149" spans="1:26" ht="12.75" customHeight="1" x14ac:dyDescent="0.25">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row>
    <row r="150" spans="1:26" ht="12.75" customHeight="1" x14ac:dyDescent="0.25">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row>
    <row r="151" spans="1:26" ht="12.75" customHeight="1" x14ac:dyDescent="0.25">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row>
    <row r="152" spans="1:26" ht="12.75" customHeight="1" x14ac:dyDescent="0.25">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row>
    <row r="153" spans="1:26" ht="12.75" customHeight="1" x14ac:dyDescent="0.25">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row>
    <row r="154" spans="1:26" ht="12.75" customHeight="1" x14ac:dyDescent="0.25">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row>
    <row r="155" spans="1:26" ht="12.75" customHeight="1" x14ac:dyDescent="0.2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row>
    <row r="156" spans="1:26" ht="12.75" customHeight="1" x14ac:dyDescent="0.25">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row>
    <row r="157" spans="1:26" ht="12.75" customHeight="1" x14ac:dyDescent="0.25">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row>
    <row r="158" spans="1:26" ht="12.75" customHeight="1" x14ac:dyDescent="0.25">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row>
    <row r="159" spans="1:26" ht="12.75" customHeight="1" x14ac:dyDescent="0.25">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row>
    <row r="160" spans="1:26" ht="12.75" customHeight="1" x14ac:dyDescent="0.25">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row>
    <row r="161" spans="1:26" ht="12.75" customHeight="1" x14ac:dyDescent="0.25">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row>
    <row r="162" spans="1:26" ht="12.75" customHeight="1" x14ac:dyDescent="0.25">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row>
    <row r="163" spans="1:26" ht="12.75" customHeight="1" x14ac:dyDescent="0.25">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row>
    <row r="164" spans="1:26" ht="12.75" customHeight="1" x14ac:dyDescent="0.25">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row>
    <row r="165" spans="1:26" ht="12.75" customHeight="1" x14ac:dyDescent="0.2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row>
    <row r="166" spans="1:26" ht="12.75" customHeight="1" x14ac:dyDescent="0.25">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row>
    <row r="167" spans="1:26" ht="12.75" customHeight="1" x14ac:dyDescent="0.25">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row>
    <row r="168" spans="1:26" ht="12.75" customHeight="1" x14ac:dyDescent="0.25">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row>
    <row r="169" spans="1:26" ht="12.75" customHeight="1" x14ac:dyDescent="0.25">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row>
    <row r="170" spans="1:26" ht="12.75" customHeight="1" x14ac:dyDescent="0.25">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row>
    <row r="171" spans="1:26" ht="12.75" customHeight="1" x14ac:dyDescent="0.25">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row>
    <row r="172" spans="1:26" ht="12.75" customHeight="1" x14ac:dyDescent="0.25">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row>
    <row r="173" spans="1:26" ht="12.75" customHeight="1" x14ac:dyDescent="0.25">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row>
    <row r="174" spans="1:26" ht="12.75" customHeight="1" x14ac:dyDescent="0.25">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row>
    <row r="175" spans="1:26" ht="12.75" customHeight="1" x14ac:dyDescent="0.2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row>
    <row r="176" spans="1:26" ht="12.75" customHeight="1" x14ac:dyDescent="0.25">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row>
    <row r="177" spans="1:26" ht="12.75" customHeight="1" x14ac:dyDescent="0.25">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row>
    <row r="178" spans="1:26" ht="12.75" customHeight="1" x14ac:dyDescent="0.25">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row>
    <row r="179" spans="1:26" ht="12.75" customHeight="1" x14ac:dyDescent="0.25">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row>
    <row r="180" spans="1:26" ht="12.75" customHeight="1" x14ac:dyDescent="0.25">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row>
    <row r="181" spans="1:26" ht="12.75" customHeight="1" x14ac:dyDescent="0.25">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row>
    <row r="182" spans="1:26" ht="12.75" customHeight="1" x14ac:dyDescent="0.25">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row>
    <row r="183" spans="1:26" ht="12.75" customHeight="1" x14ac:dyDescent="0.25">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row>
    <row r="184" spans="1:26" ht="12.75" customHeight="1" x14ac:dyDescent="0.25">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row>
    <row r="185" spans="1:26" ht="12.75" customHeight="1" x14ac:dyDescent="0.2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row>
    <row r="186" spans="1:26" ht="12.75" customHeight="1" x14ac:dyDescent="0.25">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row>
    <row r="187" spans="1:26" ht="12.75" customHeight="1" x14ac:dyDescent="0.25">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row>
    <row r="188" spans="1:26" ht="12.75" customHeight="1" x14ac:dyDescent="0.25">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row>
    <row r="189" spans="1:26" ht="12.75" customHeight="1" x14ac:dyDescent="0.25">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row>
    <row r="190" spans="1:26" ht="12.75" customHeight="1" x14ac:dyDescent="0.25">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row>
    <row r="191" spans="1:26" ht="12.75" customHeight="1" x14ac:dyDescent="0.25">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row>
    <row r="192" spans="1:26" ht="12.75" customHeight="1" x14ac:dyDescent="0.25">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row>
    <row r="193" spans="1:26" ht="12.75" customHeight="1" x14ac:dyDescent="0.25">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row>
    <row r="194" spans="1:26" ht="12.75" customHeight="1" x14ac:dyDescent="0.25">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row>
    <row r="195" spans="1:26" ht="12.75" customHeight="1" x14ac:dyDescent="0.2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row>
    <row r="196" spans="1:26" ht="12.75" customHeight="1" x14ac:dyDescent="0.25">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row>
    <row r="197" spans="1:26" ht="12.75" customHeight="1" x14ac:dyDescent="0.25">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row>
    <row r="198" spans="1:26" ht="12.75" customHeight="1" x14ac:dyDescent="0.25">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row>
    <row r="199" spans="1:26" ht="12.75" customHeight="1" x14ac:dyDescent="0.25">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row>
    <row r="200" spans="1:26" ht="12.75" customHeight="1" x14ac:dyDescent="0.25">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row>
    <row r="201" spans="1:26" ht="12.75" customHeight="1" x14ac:dyDescent="0.25">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row>
    <row r="202" spans="1:26" ht="12.75" customHeight="1" x14ac:dyDescent="0.25">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row>
    <row r="203" spans="1:26" ht="12.75" customHeight="1" x14ac:dyDescent="0.25">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row>
    <row r="204" spans="1:26" ht="12.75" customHeight="1" x14ac:dyDescent="0.25">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row>
    <row r="205" spans="1:26" ht="12.75" customHeight="1" x14ac:dyDescent="0.2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row>
    <row r="206" spans="1:26" ht="12.75" customHeight="1" x14ac:dyDescent="0.25">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row>
    <row r="207" spans="1:26" ht="12.75" customHeight="1" x14ac:dyDescent="0.25">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row>
    <row r="208" spans="1:26" ht="12.75" customHeight="1" x14ac:dyDescent="0.25">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row>
    <row r="209" spans="1:26" ht="12.75" customHeight="1" x14ac:dyDescent="0.25">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row>
    <row r="210" spans="1:26" ht="12.75" customHeight="1" x14ac:dyDescent="0.25">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row>
    <row r="211" spans="1:26" ht="12.75" customHeight="1" x14ac:dyDescent="0.25">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row>
    <row r="212" spans="1:26" ht="12.75" customHeight="1" x14ac:dyDescent="0.25">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row>
    <row r="213" spans="1:26" ht="12.75" customHeight="1" x14ac:dyDescent="0.25">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row>
    <row r="214" spans="1:26" ht="12.75" customHeight="1" x14ac:dyDescent="0.25">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row>
    <row r="215" spans="1:26" ht="12.75" customHeight="1" x14ac:dyDescent="0.2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row>
    <row r="216" spans="1:26" ht="12.75" customHeight="1" x14ac:dyDescent="0.25">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row>
    <row r="217" spans="1:26" ht="12.75" customHeight="1" x14ac:dyDescent="0.25">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row>
    <row r="218" spans="1:26" ht="12.75" customHeight="1" x14ac:dyDescent="0.25">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row>
    <row r="219" spans="1:26" ht="12.75" customHeight="1" x14ac:dyDescent="0.25">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row>
    <row r="220" spans="1:26" ht="12.75" customHeight="1" x14ac:dyDescent="0.25">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row>
    <row r="221" spans="1:26" ht="12.75" customHeight="1" x14ac:dyDescent="0.25">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row>
    <row r="222" spans="1:26" ht="12.75" customHeight="1" x14ac:dyDescent="0.25">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row>
    <row r="223" spans="1:26" ht="12.75" customHeight="1" x14ac:dyDescent="0.25">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row>
    <row r="224" spans="1:26" ht="12.75" customHeight="1" x14ac:dyDescent="0.25">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row>
    <row r="225" spans="1:26" ht="12.75" customHeight="1" x14ac:dyDescent="0.2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row>
    <row r="226" spans="1:26" ht="12.75" customHeight="1" x14ac:dyDescent="0.25">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row>
    <row r="227" spans="1:26" ht="12.75" customHeight="1" x14ac:dyDescent="0.25">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row>
    <row r="228" spans="1:26" ht="12.75" customHeight="1" x14ac:dyDescent="0.25">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row>
    <row r="229" spans="1:26" ht="12.75" customHeight="1" x14ac:dyDescent="0.25">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row>
    <row r="230" spans="1:26" ht="12.75" customHeight="1" x14ac:dyDescent="0.25">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row>
    <row r="231" spans="1:26" ht="12.75" customHeight="1" x14ac:dyDescent="0.25">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row>
    <row r="232" spans="1:26" ht="12.75" customHeight="1" x14ac:dyDescent="0.25">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row>
    <row r="233" spans="1:26" ht="12.75" customHeight="1" x14ac:dyDescent="0.25">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row>
    <row r="234" spans="1:26" ht="12.75" customHeight="1" x14ac:dyDescent="0.25">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row>
    <row r="235" spans="1:26" ht="12.75" customHeight="1" x14ac:dyDescent="0.2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row>
    <row r="236" spans="1:26" ht="12.75" customHeight="1" x14ac:dyDescent="0.25">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row>
    <row r="237" spans="1:26" ht="12.75" customHeight="1" x14ac:dyDescent="0.25">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row>
    <row r="238" spans="1:26" ht="12.75" customHeight="1" x14ac:dyDescent="0.25">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row>
    <row r="239" spans="1:26" ht="12.75" customHeight="1" x14ac:dyDescent="0.25">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row>
    <row r="240" spans="1:26" ht="12.75" customHeight="1" x14ac:dyDescent="0.25">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row>
    <row r="241" spans="1:26" ht="12.75" customHeight="1" x14ac:dyDescent="0.25">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row>
    <row r="242" spans="1:26" ht="12.75" customHeight="1" x14ac:dyDescent="0.25">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row>
    <row r="243" spans="1:26" ht="12.75" customHeight="1" x14ac:dyDescent="0.25">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row>
    <row r="244" spans="1:26" ht="12.75" customHeight="1" x14ac:dyDescent="0.25">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row>
    <row r="245" spans="1:26" ht="12.75" customHeight="1" x14ac:dyDescent="0.2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row>
    <row r="246" spans="1:26" ht="12.75" customHeight="1" x14ac:dyDescent="0.25">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row>
    <row r="247" spans="1:26" ht="12.75" customHeight="1" x14ac:dyDescent="0.25">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row>
    <row r="248" spans="1:26" ht="12.75" customHeight="1" x14ac:dyDescent="0.25">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row>
    <row r="249" spans="1:26" ht="12.75" customHeight="1" x14ac:dyDescent="0.25">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row>
    <row r="250" spans="1:26" ht="12.75" customHeight="1" x14ac:dyDescent="0.25">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row>
    <row r="251" spans="1:26" ht="12.75" customHeight="1" x14ac:dyDescent="0.25">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row>
    <row r="252" spans="1:26" ht="12.75" customHeight="1" x14ac:dyDescent="0.25">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row>
    <row r="253" spans="1:26" ht="12.75" customHeight="1" x14ac:dyDescent="0.25">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row>
    <row r="254" spans="1:26" ht="12.75" customHeight="1" x14ac:dyDescent="0.25">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row>
    <row r="255" spans="1:26" ht="12.75" customHeight="1" x14ac:dyDescent="0.2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row>
    <row r="256" spans="1:26" ht="12.75" customHeight="1" x14ac:dyDescent="0.25">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row>
    <row r="257" spans="1:26" ht="12.75" customHeight="1" x14ac:dyDescent="0.25">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row>
    <row r="258" spans="1:26" ht="12.75" customHeight="1" x14ac:dyDescent="0.25">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row>
    <row r="259" spans="1:26" ht="12.75" customHeight="1" x14ac:dyDescent="0.25">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row>
    <row r="260" spans="1:26" ht="12.75" customHeight="1" x14ac:dyDescent="0.25">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row>
    <row r="261" spans="1:26" ht="12.75" customHeight="1" x14ac:dyDescent="0.25">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row>
    <row r="262" spans="1:26" ht="12.75" customHeight="1" x14ac:dyDescent="0.25">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row>
    <row r="263" spans="1:26" ht="12.75" customHeight="1" x14ac:dyDescent="0.25">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row>
    <row r="264" spans="1:26" ht="12.75" customHeight="1" x14ac:dyDescent="0.25">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row>
    <row r="265" spans="1:26" ht="12.75" customHeight="1" x14ac:dyDescent="0.2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row>
    <row r="266" spans="1:26" ht="12.75" customHeight="1" x14ac:dyDescent="0.25">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row>
    <row r="267" spans="1:26" ht="12.75" customHeight="1" x14ac:dyDescent="0.25">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row>
    <row r="268" spans="1:26" ht="12.75" customHeight="1" x14ac:dyDescent="0.25">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row>
    <row r="269" spans="1:26" ht="12.75" customHeight="1" x14ac:dyDescent="0.25">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row>
    <row r="270" spans="1:26" ht="12.75" customHeight="1" x14ac:dyDescent="0.25">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row>
    <row r="271" spans="1:26" ht="12.75" customHeight="1" x14ac:dyDescent="0.25">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row>
    <row r="272" spans="1:26" ht="12.75" customHeight="1" x14ac:dyDescent="0.25">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row>
    <row r="273" spans="1:26" ht="12.75" customHeight="1" x14ac:dyDescent="0.25">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row>
    <row r="274" spans="1:26" ht="12.75" customHeight="1" x14ac:dyDescent="0.25">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row>
    <row r="275" spans="1:26" ht="12.75" customHeight="1" x14ac:dyDescent="0.2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row>
    <row r="276" spans="1:26" ht="12.75" customHeight="1" x14ac:dyDescent="0.25">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row>
    <row r="277" spans="1:26" ht="12.75" customHeight="1" x14ac:dyDescent="0.25">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row>
    <row r="278" spans="1:26" ht="12.75" customHeight="1" x14ac:dyDescent="0.25">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row>
    <row r="279" spans="1:26" ht="12.75" customHeight="1" x14ac:dyDescent="0.25">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row>
    <row r="280" spans="1:26" ht="12.75" customHeight="1" x14ac:dyDescent="0.25">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row>
    <row r="281" spans="1:26" ht="12.75" customHeight="1" x14ac:dyDescent="0.25">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row>
    <row r="282" spans="1:26" ht="12.75" customHeight="1" x14ac:dyDescent="0.25">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row>
    <row r="283" spans="1:26" ht="12.75" customHeight="1" x14ac:dyDescent="0.25">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row>
    <row r="284" spans="1:26" ht="12.75" customHeight="1" x14ac:dyDescent="0.25">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row>
    <row r="285" spans="1:26" ht="12.75" customHeight="1" x14ac:dyDescent="0.2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row>
    <row r="286" spans="1:26" ht="12.75" customHeight="1" x14ac:dyDescent="0.25">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row>
    <row r="287" spans="1:26" ht="12.75" customHeight="1" x14ac:dyDescent="0.25">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row>
    <row r="288" spans="1:26" ht="12.75" customHeight="1" x14ac:dyDescent="0.25">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row>
    <row r="289" spans="1:26" ht="12.75" customHeight="1" x14ac:dyDescent="0.25">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row>
    <row r="290" spans="1:26" ht="12.75" customHeight="1" x14ac:dyDescent="0.25">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row>
    <row r="291" spans="1:26" ht="12.75" customHeight="1" x14ac:dyDescent="0.25">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row>
    <row r="292" spans="1:26" ht="12.75" customHeight="1" x14ac:dyDescent="0.25">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row>
    <row r="293" spans="1:26" ht="12.75" customHeight="1" x14ac:dyDescent="0.25">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row>
    <row r="294" spans="1:26" ht="12.75" customHeight="1" x14ac:dyDescent="0.25">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row>
    <row r="295" spans="1:26" ht="12.75" customHeight="1" x14ac:dyDescent="0.2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row>
    <row r="296" spans="1:26" ht="12.75" customHeight="1" x14ac:dyDescent="0.25">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row>
    <row r="297" spans="1:26" ht="12.75" customHeight="1" x14ac:dyDescent="0.25">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row>
    <row r="298" spans="1:26" ht="12.75" customHeight="1" x14ac:dyDescent="0.25">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row>
    <row r="299" spans="1:26" ht="12.75" customHeight="1" x14ac:dyDescent="0.25">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row>
    <row r="300" spans="1:26" ht="12.75" customHeight="1" x14ac:dyDescent="0.25">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row>
    <row r="301" spans="1:26" ht="12.75" customHeight="1" x14ac:dyDescent="0.25">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row>
    <row r="302" spans="1:26" ht="12.75" customHeight="1" x14ac:dyDescent="0.25">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row>
    <row r="303" spans="1:26" ht="12.75" customHeight="1" x14ac:dyDescent="0.25">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row>
    <row r="304" spans="1:26" ht="12.75" customHeight="1" x14ac:dyDescent="0.25">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row>
    <row r="305" spans="1:26" ht="12.75" customHeight="1" x14ac:dyDescent="0.2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row>
    <row r="306" spans="1:26" ht="12.75" customHeight="1" x14ac:dyDescent="0.25">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row>
    <row r="307" spans="1:26" ht="12.75" customHeight="1" x14ac:dyDescent="0.25">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row>
    <row r="308" spans="1:26" ht="12.75" customHeight="1" x14ac:dyDescent="0.25">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row>
    <row r="309" spans="1:26" ht="12.75" customHeight="1" x14ac:dyDescent="0.25">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row>
    <row r="310" spans="1:26" ht="12.75" customHeight="1" x14ac:dyDescent="0.25">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row>
    <row r="311" spans="1:26" ht="12.75" customHeight="1" x14ac:dyDescent="0.25">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row>
    <row r="312" spans="1:26" ht="12.75" customHeight="1" x14ac:dyDescent="0.25">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row>
    <row r="313" spans="1:26" ht="12.75" customHeight="1" x14ac:dyDescent="0.25">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row>
    <row r="314" spans="1:26" ht="12.75" customHeight="1" x14ac:dyDescent="0.25">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row>
    <row r="315" spans="1:26" ht="12.75" customHeight="1" x14ac:dyDescent="0.2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row>
    <row r="316" spans="1:26" ht="12.75" customHeight="1" x14ac:dyDescent="0.25">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row>
    <row r="317" spans="1:26" ht="12.75" customHeight="1" x14ac:dyDescent="0.25">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row>
    <row r="318" spans="1:26" ht="12.75" customHeight="1" x14ac:dyDescent="0.25">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row>
    <row r="319" spans="1:26" ht="12.75" customHeight="1" x14ac:dyDescent="0.25">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row>
    <row r="320" spans="1:26" ht="12.75" customHeight="1" x14ac:dyDescent="0.25">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row>
    <row r="321" spans="1:26" ht="12.75" customHeight="1" x14ac:dyDescent="0.25">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row>
    <row r="322" spans="1:26" ht="12.75" customHeight="1" x14ac:dyDescent="0.25">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row>
    <row r="323" spans="1:26" ht="12.75" customHeight="1" x14ac:dyDescent="0.25">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row>
    <row r="324" spans="1:26" ht="12.75" customHeight="1" x14ac:dyDescent="0.25">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row>
    <row r="325" spans="1:26" ht="12.75" customHeight="1" x14ac:dyDescent="0.2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row>
    <row r="326" spans="1:26" ht="12.75" customHeight="1" x14ac:dyDescent="0.25">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row>
    <row r="327" spans="1:26" ht="12.75" customHeight="1" x14ac:dyDescent="0.25">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row>
    <row r="328" spans="1:26" ht="12.75" customHeight="1" x14ac:dyDescent="0.25">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row>
    <row r="329" spans="1:26" ht="12.75" customHeight="1" x14ac:dyDescent="0.25">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row>
    <row r="330" spans="1:26" ht="12.75" customHeight="1" x14ac:dyDescent="0.25">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row>
    <row r="331" spans="1:26" ht="12.75" customHeight="1" x14ac:dyDescent="0.25">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row>
    <row r="332" spans="1:26" ht="12.75" customHeight="1" x14ac:dyDescent="0.25">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row>
    <row r="333" spans="1:26" ht="12.75" customHeight="1" x14ac:dyDescent="0.25">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row>
    <row r="334" spans="1:26" ht="12.75" customHeight="1" x14ac:dyDescent="0.25">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row>
    <row r="335" spans="1:26" ht="12.75" customHeight="1" x14ac:dyDescent="0.2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row>
    <row r="336" spans="1:26" ht="12.75" customHeight="1" x14ac:dyDescent="0.25">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row>
    <row r="337" spans="1:26" ht="12.75" customHeight="1" x14ac:dyDescent="0.25">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row>
    <row r="338" spans="1:26" ht="12.75" customHeight="1" x14ac:dyDescent="0.25">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row>
    <row r="339" spans="1:26" ht="12.75" customHeight="1" x14ac:dyDescent="0.25">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row>
    <row r="340" spans="1:26" ht="12.75" customHeight="1" x14ac:dyDescent="0.25">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row>
    <row r="341" spans="1:26" ht="12.75" customHeight="1" x14ac:dyDescent="0.25">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row>
    <row r="342" spans="1:26" ht="12.75" customHeight="1" x14ac:dyDescent="0.25">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row>
    <row r="343" spans="1:26" ht="12.75" customHeight="1" x14ac:dyDescent="0.25">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row>
    <row r="344" spans="1:26" ht="12.75" customHeight="1" x14ac:dyDescent="0.25">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row>
    <row r="345" spans="1:26" ht="12.75" customHeight="1" x14ac:dyDescent="0.2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row>
    <row r="346" spans="1:26" ht="12.75" customHeight="1" x14ac:dyDescent="0.25">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row>
    <row r="347" spans="1:26" ht="12.75" customHeight="1" x14ac:dyDescent="0.25">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row>
    <row r="348" spans="1:26" ht="12.75" customHeight="1" x14ac:dyDescent="0.25">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row>
    <row r="349" spans="1:26" ht="12.75" customHeight="1" x14ac:dyDescent="0.25">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row>
    <row r="350" spans="1:26" ht="12.75" customHeight="1" x14ac:dyDescent="0.25">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row>
    <row r="351" spans="1:26" ht="12.75" customHeight="1" x14ac:dyDescent="0.25">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row>
    <row r="352" spans="1:26" ht="12.75" customHeight="1" x14ac:dyDescent="0.25">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row>
    <row r="353" spans="1:26" ht="12.75" customHeight="1" x14ac:dyDescent="0.25">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row>
    <row r="354" spans="1:26" ht="12.75" customHeight="1" x14ac:dyDescent="0.25">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row>
    <row r="355" spans="1:26" ht="12.75" customHeight="1" x14ac:dyDescent="0.2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row>
    <row r="356" spans="1:26" ht="12.75" customHeight="1" x14ac:dyDescent="0.25">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row>
    <row r="357" spans="1:26" ht="12.75" customHeight="1" x14ac:dyDescent="0.25">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row>
    <row r="358" spans="1:26" ht="12.75" customHeight="1" x14ac:dyDescent="0.25">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row>
    <row r="359" spans="1:26" ht="12.75" customHeight="1" x14ac:dyDescent="0.25">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row>
    <row r="360" spans="1:26" ht="12.75" customHeight="1" x14ac:dyDescent="0.25">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row>
    <row r="361" spans="1:26" ht="12.75" customHeight="1" x14ac:dyDescent="0.25">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row>
    <row r="362" spans="1:26" ht="12.75" customHeight="1" x14ac:dyDescent="0.25">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row>
    <row r="363" spans="1:26" ht="12.75" customHeight="1" x14ac:dyDescent="0.25">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row>
    <row r="364" spans="1:26" ht="12.75" customHeight="1" x14ac:dyDescent="0.25">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row>
    <row r="365" spans="1:26" ht="12.75" customHeight="1" x14ac:dyDescent="0.2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row>
    <row r="366" spans="1:26" ht="12.75" customHeight="1" x14ac:dyDescent="0.25">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row>
    <row r="367" spans="1:26" ht="12.75" customHeight="1" x14ac:dyDescent="0.25">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row>
    <row r="368" spans="1:26" ht="12.75" customHeight="1" x14ac:dyDescent="0.25">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row>
    <row r="369" spans="1:26" ht="12.75" customHeight="1" x14ac:dyDescent="0.25">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row>
    <row r="370" spans="1:26" ht="12.75" customHeight="1" x14ac:dyDescent="0.25">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row>
    <row r="371" spans="1:26" ht="12.75" customHeight="1" x14ac:dyDescent="0.25">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row>
    <row r="372" spans="1:26" ht="12.75" customHeight="1" x14ac:dyDescent="0.25">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row>
    <row r="373" spans="1:26" ht="12.75" customHeight="1" x14ac:dyDescent="0.25">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row>
    <row r="374" spans="1:26" ht="12.75" customHeight="1" x14ac:dyDescent="0.25">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row>
    <row r="375" spans="1:26" ht="12.75" customHeight="1" x14ac:dyDescent="0.2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row>
    <row r="376" spans="1:26" ht="12.75" customHeight="1" x14ac:dyDescent="0.25">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row>
    <row r="377" spans="1:26" ht="12.75" customHeight="1" x14ac:dyDescent="0.25">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row>
    <row r="378" spans="1:26" ht="12.75" customHeight="1" x14ac:dyDescent="0.25">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row>
    <row r="379" spans="1:26" ht="12.75" customHeight="1" x14ac:dyDescent="0.25">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row>
    <row r="380" spans="1:26" ht="12.75" customHeight="1" x14ac:dyDescent="0.25">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row>
    <row r="381" spans="1:26" ht="12.75" customHeight="1" x14ac:dyDescent="0.25">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row>
    <row r="382" spans="1:26" ht="12.75" customHeight="1" x14ac:dyDescent="0.25">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row>
    <row r="383" spans="1:26" ht="12.75" customHeight="1" x14ac:dyDescent="0.25">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row>
    <row r="384" spans="1:26" ht="12.75" customHeight="1" x14ac:dyDescent="0.25">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row>
    <row r="385" spans="1:26" ht="12.75" customHeight="1" x14ac:dyDescent="0.2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row>
    <row r="386" spans="1:26" ht="12.75" customHeight="1" x14ac:dyDescent="0.25">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row>
    <row r="387" spans="1:26" ht="12.75" customHeight="1" x14ac:dyDescent="0.25">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row>
    <row r="388" spans="1:26" ht="12.75" customHeight="1" x14ac:dyDescent="0.25">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row>
    <row r="389" spans="1:26" ht="12.75" customHeight="1" x14ac:dyDescent="0.25">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row>
    <row r="390" spans="1:26" ht="12.75" customHeight="1" x14ac:dyDescent="0.25">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row>
    <row r="391" spans="1:26" ht="12.75" customHeight="1" x14ac:dyDescent="0.25">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row>
    <row r="392" spans="1:26" ht="12.75" customHeight="1" x14ac:dyDescent="0.25">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row>
    <row r="393" spans="1:26" ht="12.75" customHeight="1" x14ac:dyDescent="0.25">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row>
    <row r="394" spans="1:26" ht="12.75" customHeight="1" x14ac:dyDescent="0.25">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row>
    <row r="395" spans="1:26" ht="12.75" customHeight="1" x14ac:dyDescent="0.2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row>
    <row r="396" spans="1:26" ht="12.75" customHeight="1" x14ac:dyDescent="0.25">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row>
    <row r="397" spans="1:26" ht="12.75" customHeight="1" x14ac:dyDescent="0.25">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row>
    <row r="398" spans="1:26" ht="12.75" customHeight="1" x14ac:dyDescent="0.25">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row>
    <row r="399" spans="1:26" ht="12.75" customHeight="1" x14ac:dyDescent="0.25">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row>
    <row r="400" spans="1:26" ht="12.75" customHeight="1" x14ac:dyDescent="0.25">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row>
    <row r="401" spans="1:26" ht="12.75" customHeight="1" x14ac:dyDescent="0.25">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row>
    <row r="402" spans="1:26" ht="12.75" customHeight="1" x14ac:dyDescent="0.25">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row>
    <row r="403" spans="1:26" ht="12.75" customHeight="1" x14ac:dyDescent="0.25">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row>
    <row r="404" spans="1:26" ht="12.75" customHeight="1" x14ac:dyDescent="0.25">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row>
    <row r="405" spans="1:26" ht="12.75" customHeight="1" x14ac:dyDescent="0.2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row>
    <row r="406" spans="1:26" ht="12.75" customHeight="1" x14ac:dyDescent="0.25">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row>
    <row r="407" spans="1:26" ht="12.75" customHeight="1" x14ac:dyDescent="0.25">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row>
    <row r="408" spans="1:26" ht="12.75" customHeight="1" x14ac:dyDescent="0.25">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row>
    <row r="409" spans="1:26" ht="12.75" customHeight="1" x14ac:dyDescent="0.25">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row>
    <row r="410" spans="1:26" ht="12.75" customHeight="1" x14ac:dyDescent="0.25">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row>
    <row r="411" spans="1:26" ht="12.75" customHeight="1" x14ac:dyDescent="0.25">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row>
    <row r="412" spans="1:26" ht="12.75" customHeight="1" x14ac:dyDescent="0.25">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row>
    <row r="413" spans="1:26" ht="12.75" customHeight="1" x14ac:dyDescent="0.25">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row>
    <row r="414" spans="1:26" ht="12.75" customHeight="1" x14ac:dyDescent="0.25">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row>
    <row r="415" spans="1:26" ht="12.75" customHeight="1" x14ac:dyDescent="0.2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row>
    <row r="416" spans="1:26" ht="12.75" customHeight="1" x14ac:dyDescent="0.25">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row>
    <row r="417" spans="1:26" ht="12.75" customHeight="1" x14ac:dyDescent="0.25">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row>
    <row r="418" spans="1:26" ht="12.75" customHeight="1" x14ac:dyDescent="0.25">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row>
    <row r="419" spans="1:26" ht="12.75" customHeight="1" x14ac:dyDescent="0.25">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row>
    <row r="420" spans="1:26" ht="12.75" customHeight="1" x14ac:dyDescent="0.25">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row>
    <row r="421" spans="1:26" ht="12.75" customHeight="1" x14ac:dyDescent="0.25">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row>
    <row r="422" spans="1:26" ht="12.75" customHeight="1" x14ac:dyDescent="0.25">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row>
    <row r="423" spans="1:26" ht="12.75" customHeight="1" x14ac:dyDescent="0.25">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row>
    <row r="424" spans="1:26" ht="12.75" customHeight="1" x14ac:dyDescent="0.25">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row>
    <row r="425" spans="1:26" ht="12.75" customHeight="1" x14ac:dyDescent="0.2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row>
    <row r="426" spans="1:26" ht="12.75" customHeight="1" x14ac:dyDescent="0.25">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row>
    <row r="427" spans="1:26" ht="12.75" customHeight="1" x14ac:dyDescent="0.25">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row>
    <row r="428" spans="1:26" ht="12.75" customHeight="1" x14ac:dyDescent="0.25">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row>
    <row r="429" spans="1:26" ht="12.75" customHeight="1" x14ac:dyDescent="0.25">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row>
    <row r="430" spans="1:26" ht="12.75" customHeight="1" x14ac:dyDescent="0.25">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row>
    <row r="431" spans="1:26" ht="12.75" customHeight="1" x14ac:dyDescent="0.25">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row>
    <row r="432" spans="1:26" ht="12.75" customHeight="1" x14ac:dyDescent="0.25">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row>
    <row r="433" spans="1:26" ht="12.75" customHeight="1" x14ac:dyDescent="0.25">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row>
    <row r="434" spans="1:26" ht="12.75" customHeight="1" x14ac:dyDescent="0.25">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row>
    <row r="435" spans="1:26" ht="12.75" customHeight="1" x14ac:dyDescent="0.2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row>
    <row r="436" spans="1:26" ht="12.75" customHeight="1" x14ac:dyDescent="0.25">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row>
    <row r="437" spans="1:26" ht="12.75" customHeight="1" x14ac:dyDescent="0.25">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row>
    <row r="438" spans="1:26" ht="12.75" customHeight="1" x14ac:dyDescent="0.25">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row>
    <row r="439" spans="1:26" ht="12.75" customHeight="1" x14ac:dyDescent="0.25">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row>
    <row r="440" spans="1:26" ht="12.75" customHeight="1" x14ac:dyDescent="0.25">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row>
    <row r="441" spans="1:26" ht="12.75" customHeight="1" x14ac:dyDescent="0.25">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row>
    <row r="442" spans="1:26" ht="12.75" customHeight="1" x14ac:dyDescent="0.25">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row>
    <row r="443" spans="1:26" ht="12.75" customHeight="1" x14ac:dyDescent="0.25">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row>
    <row r="444" spans="1:26" ht="12.75" customHeight="1" x14ac:dyDescent="0.25">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row>
    <row r="445" spans="1:26" ht="12.75" customHeight="1" x14ac:dyDescent="0.2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row>
    <row r="446" spans="1:26" ht="12.75" customHeight="1" x14ac:dyDescent="0.25">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row>
    <row r="447" spans="1:26" ht="12.75" customHeight="1" x14ac:dyDescent="0.25">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row>
    <row r="448" spans="1:26" ht="12.75" customHeight="1" x14ac:dyDescent="0.25">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row>
    <row r="449" spans="1:26" ht="12.75" customHeight="1" x14ac:dyDescent="0.25">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row>
    <row r="450" spans="1:26" ht="12.75" customHeight="1" x14ac:dyDescent="0.25">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row>
    <row r="451" spans="1:26" ht="12.75" customHeight="1" x14ac:dyDescent="0.25">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row>
    <row r="452" spans="1:26" ht="12.75" customHeight="1" x14ac:dyDescent="0.25">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row>
    <row r="453" spans="1:26" ht="12.75" customHeight="1" x14ac:dyDescent="0.25">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row>
    <row r="454" spans="1:26" ht="12.75" customHeight="1" x14ac:dyDescent="0.25">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row>
    <row r="455" spans="1:26" ht="12.75" customHeight="1" x14ac:dyDescent="0.2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row>
    <row r="456" spans="1:26" ht="12.75" customHeight="1" x14ac:dyDescent="0.25">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row>
    <row r="457" spans="1:26" ht="12.75" customHeight="1" x14ac:dyDescent="0.25">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row>
    <row r="458" spans="1:26" ht="12.75" customHeight="1" x14ac:dyDescent="0.25">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row>
    <row r="459" spans="1:26" ht="12.75" customHeight="1" x14ac:dyDescent="0.25">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row>
    <row r="460" spans="1:26" ht="12.75" customHeight="1" x14ac:dyDescent="0.25">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row>
    <row r="461" spans="1:26" ht="12.75" customHeight="1" x14ac:dyDescent="0.25">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row>
    <row r="462" spans="1:26" ht="12.75" customHeight="1" x14ac:dyDescent="0.25">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row>
    <row r="463" spans="1:26" ht="12.75" customHeight="1" x14ac:dyDescent="0.25">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row>
    <row r="464" spans="1:26" ht="12.75" customHeight="1" x14ac:dyDescent="0.25">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row>
    <row r="465" spans="1:26" ht="12.75" customHeight="1" x14ac:dyDescent="0.2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row>
    <row r="466" spans="1:26" ht="12.75" customHeight="1" x14ac:dyDescent="0.25">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row>
    <row r="467" spans="1:26" ht="12.75" customHeight="1" x14ac:dyDescent="0.25">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row>
    <row r="468" spans="1:26" ht="12.75" customHeight="1" x14ac:dyDescent="0.25">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row>
    <row r="469" spans="1:26" ht="12.75" customHeight="1" x14ac:dyDescent="0.25">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row>
    <row r="470" spans="1:26" ht="12.75" customHeight="1" x14ac:dyDescent="0.25">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row>
    <row r="471" spans="1:26" ht="12.75" customHeight="1" x14ac:dyDescent="0.25">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row>
    <row r="472" spans="1:26" ht="12.75" customHeight="1" x14ac:dyDescent="0.25">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row>
    <row r="473" spans="1:26" ht="12.75" customHeight="1" x14ac:dyDescent="0.25">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row>
    <row r="474" spans="1:26" ht="12.75" customHeight="1" x14ac:dyDescent="0.25">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row>
    <row r="475" spans="1:26" ht="12.75" customHeight="1" x14ac:dyDescent="0.2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row>
    <row r="476" spans="1:26" ht="12.75" customHeight="1" x14ac:dyDescent="0.25">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row>
    <row r="477" spans="1:26" ht="12.75" customHeight="1" x14ac:dyDescent="0.25">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row>
    <row r="478" spans="1:26" ht="12.75" customHeight="1" x14ac:dyDescent="0.25">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row>
    <row r="479" spans="1:26" ht="12.75" customHeight="1" x14ac:dyDescent="0.25">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row>
    <row r="480" spans="1:26" ht="12.75" customHeight="1" x14ac:dyDescent="0.25">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row>
    <row r="481" spans="1:26" ht="12.75" customHeight="1" x14ac:dyDescent="0.25">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row>
    <row r="482" spans="1:26" ht="12.75" customHeight="1" x14ac:dyDescent="0.25">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row>
    <row r="483" spans="1:26" ht="12.75" customHeight="1" x14ac:dyDescent="0.25">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row>
    <row r="484" spans="1:26" ht="12.75" customHeight="1" x14ac:dyDescent="0.25">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row>
    <row r="485" spans="1:26" ht="12.75" customHeight="1" x14ac:dyDescent="0.25">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row>
    <row r="486" spans="1:26" ht="12.75" customHeight="1" x14ac:dyDescent="0.25">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row>
    <row r="487" spans="1:26" ht="12.75" customHeight="1" x14ac:dyDescent="0.25">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row>
    <row r="488" spans="1:26" ht="12.75" customHeight="1" x14ac:dyDescent="0.25">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row>
    <row r="489" spans="1:26" ht="12.75" customHeight="1" x14ac:dyDescent="0.25">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row>
    <row r="490" spans="1:26" ht="12.75" customHeight="1" x14ac:dyDescent="0.25">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row>
    <row r="491" spans="1:26" ht="12.75" customHeight="1" x14ac:dyDescent="0.25">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row>
    <row r="492" spans="1:26" ht="12.75" customHeight="1" x14ac:dyDescent="0.25">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row>
    <row r="493" spans="1:26" ht="12.75" customHeight="1" x14ac:dyDescent="0.25">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row>
    <row r="494" spans="1:26" ht="12.75" customHeight="1" x14ac:dyDescent="0.25">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row>
    <row r="495" spans="1:26" ht="12.75" customHeight="1" x14ac:dyDescent="0.25">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row>
    <row r="496" spans="1:26" ht="12.75" customHeight="1" x14ac:dyDescent="0.25">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row>
    <row r="497" spans="1:26" ht="12.75" customHeight="1" x14ac:dyDescent="0.25">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row>
    <row r="498" spans="1:26" ht="12.75" customHeight="1" x14ac:dyDescent="0.25">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row>
    <row r="499" spans="1:26" ht="12.75" customHeight="1" x14ac:dyDescent="0.25">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row>
    <row r="500" spans="1:26" ht="12.75" customHeight="1" x14ac:dyDescent="0.25">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row>
    <row r="501" spans="1:26" ht="12.75" customHeight="1" x14ac:dyDescent="0.25">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row>
    <row r="502" spans="1:26" ht="12.75" customHeight="1" x14ac:dyDescent="0.25">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row>
    <row r="503" spans="1:26" ht="12.75" customHeight="1" x14ac:dyDescent="0.25">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row>
    <row r="504" spans="1:26" ht="12.75" customHeight="1" x14ac:dyDescent="0.25">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row>
    <row r="505" spans="1:26" ht="12.75" customHeight="1" x14ac:dyDescent="0.25">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row>
    <row r="506" spans="1:26" ht="12.75" customHeight="1" x14ac:dyDescent="0.25">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row>
    <row r="507" spans="1:26" ht="12.75" customHeight="1" x14ac:dyDescent="0.25">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row>
    <row r="508" spans="1:26" ht="12.75" customHeight="1" x14ac:dyDescent="0.25">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row>
    <row r="509" spans="1:26" ht="12.75" customHeight="1" x14ac:dyDescent="0.25">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row>
    <row r="510" spans="1:26" ht="12.75" customHeight="1" x14ac:dyDescent="0.25">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row>
    <row r="511" spans="1:26" ht="12.75" customHeight="1" x14ac:dyDescent="0.25">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row>
    <row r="512" spans="1:26" ht="12.75" customHeight="1" x14ac:dyDescent="0.25">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row>
    <row r="513" spans="1:26" ht="12.75" customHeight="1" x14ac:dyDescent="0.25">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row>
    <row r="514" spans="1:26" ht="12.75" customHeight="1" x14ac:dyDescent="0.25">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row>
    <row r="515" spans="1:26" ht="12.75" customHeight="1" x14ac:dyDescent="0.25">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row>
    <row r="516" spans="1:26" ht="12.75" customHeight="1" x14ac:dyDescent="0.25">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row>
    <row r="517" spans="1:26" ht="12.75" customHeight="1" x14ac:dyDescent="0.25">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row>
    <row r="518" spans="1:26" ht="12.75" customHeight="1" x14ac:dyDescent="0.25">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row>
    <row r="519" spans="1:26" ht="12.75" customHeight="1" x14ac:dyDescent="0.25">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row>
    <row r="520" spans="1:26" ht="12.75" customHeight="1" x14ac:dyDescent="0.25">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row>
    <row r="521" spans="1:26" ht="12.75" customHeight="1" x14ac:dyDescent="0.25">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row>
    <row r="522" spans="1:26" ht="12.75" customHeight="1" x14ac:dyDescent="0.25">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row>
    <row r="523" spans="1:26" ht="12.75" customHeight="1" x14ac:dyDescent="0.25">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row>
    <row r="524" spans="1:26" ht="12.75" customHeight="1" x14ac:dyDescent="0.25">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row>
    <row r="525" spans="1:26" ht="12.75" customHeight="1" x14ac:dyDescent="0.25">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row>
    <row r="526" spans="1:26" ht="12.75" customHeight="1" x14ac:dyDescent="0.25">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row>
    <row r="527" spans="1:26" ht="12.75" customHeight="1" x14ac:dyDescent="0.25">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row>
    <row r="528" spans="1:26" ht="12.75" customHeight="1" x14ac:dyDescent="0.25">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row>
    <row r="529" spans="1:26" ht="12.75" customHeight="1" x14ac:dyDescent="0.25">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row>
    <row r="530" spans="1:26" ht="12.75" customHeight="1" x14ac:dyDescent="0.25">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row>
    <row r="531" spans="1:26" ht="12.75" customHeight="1" x14ac:dyDescent="0.25">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row>
    <row r="532" spans="1:26" ht="12.75" customHeight="1" x14ac:dyDescent="0.25">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row>
    <row r="533" spans="1:26" ht="12.75" customHeight="1" x14ac:dyDescent="0.25">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row>
    <row r="534" spans="1:26" ht="12.75" customHeight="1" x14ac:dyDescent="0.25">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row>
    <row r="535" spans="1:26" ht="12.75" customHeight="1" x14ac:dyDescent="0.25">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row>
    <row r="536" spans="1:26" ht="12.75" customHeight="1" x14ac:dyDescent="0.25">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row>
    <row r="537" spans="1:26" ht="12.75" customHeight="1" x14ac:dyDescent="0.25">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row>
    <row r="538" spans="1:26" ht="12.75" customHeight="1" x14ac:dyDescent="0.25">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row>
    <row r="539" spans="1:26" ht="12.75" customHeight="1" x14ac:dyDescent="0.25">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row>
    <row r="540" spans="1:26" ht="12.75" customHeight="1" x14ac:dyDescent="0.25">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row>
    <row r="541" spans="1:26" ht="12.75" customHeight="1" x14ac:dyDescent="0.25">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row>
    <row r="542" spans="1:26" ht="12.75" customHeight="1" x14ac:dyDescent="0.25">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row>
    <row r="543" spans="1:26" ht="12.75" customHeight="1" x14ac:dyDescent="0.25">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row>
    <row r="544" spans="1:26" ht="12.75" customHeight="1" x14ac:dyDescent="0.25">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row>
    <row r="545" spans="1:26" ht="12.75" customHeight="1" x14ac:dyDescent="0.25">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row>
    <row r="546" spans="1:26" ht="12.75" customHeight="1" x14ac:dyDescent="0.25">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row>
    <row r="547" spans="1:26" ht="12.75" customHeight="1" x14ac:dyDescent="0.25">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row>
    <row r="548" spans="1:26" ht="12.75" customHeight="1" x14ac:dyDescent="0.25">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row>
    <row r="549" spans="1:26" ht="12.75" customHeight="1" x14ac:dyDescent="0.25">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row>
    <row r="550" spans="1:26" ht="12.75" customHeight="1" x14ac:dyDescent="0.25">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row>
    <row r="551" spans="1:26" ht="12.75" customHeight="1" x14ac:dyDescent="0.25">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row>
    <row r="552" spans="1:26" ht="12.75" customHeight="1" x14ac:dyDescent="0.25">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row>
    <row r="553" spans="1:26" ht="12.75" customHeight="1" x14ac:dyDescent="0.25">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row>
    <row r="554" spans="1:26" ht="12.75" customHeight="1" x14ac:dyDescent="0.25">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row>
    <row r="555" spans="1:26" ht="12.75" customHeight="1" x14ac:dyDescent="0.25">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row>
    <row r="556" spans="1:26" ht="12.75" customHeight="1" x14ac:dyDescent="0.25">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row>
    <row r="557" spans="1:26" ht="12.75" customHeight="1" x14ac:dyDescent="0.25">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row>
    <row r="558" spans="1:26" ht="12.75" customHeight="1" x14ac:dyDescent="0.25">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row>
    <row r="559" spans="1:26" ht="12.75" customHeight="1" x14ac:dyDescent="0.25">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row>
    <row r="560" spans="1:26" ht="12.75" customHeight="1" x14ac:dyDescent="0.25">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row>
    <row r="561" spans="1:26" ht="12.75" customHeight="1" x14ac:dyDescent="0.25">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row>
    <row r="562" spans="1:26" ht="12.75" customHeight="1" x14ac:dyDescent="0.25">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row>
    <row r="563" spans="1:26" ht="12.75" customHeight="1" x14ac:dyDescent="0.25">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row>
    <row r="564" spans="1:26" ht="12.75" customHeight="1" x14ac:dyDescent="0.25">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row>
    <row r="565" spans="1:26" ht="12.75" customHeight="1" x14ac:dyDescent="0.25">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row>
    <row r="566" spans="1:26" ht="12.75" customHeight="1" x14ac:dyDescent="0.25">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row>
    <row r="567" spans="1:26" ht="12.75" customHeight="1" x14ac:dyDescent="0.25">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row>
    <row r="568" spans="1:26" ht="12.75" customHeight="1" x14ac:dyDescent="0.25">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row>
    <row r="569" spans="1:26" ht="12.75" customHeight="1" x14ac:dyDescent="0.25">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row>
    <row r="570" spans="1:26" ht="12.75" customHeight="1" x14ac:dyDescent="0.25">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row>
    <row r="571" spans="1:26" ht="12.75" customHeight="1" x14ac:dyDescent="0.25">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row>
    <row r="572" spans="1:26" ht="12.75" customHeight="1" x14ac:dyDescent="0.25">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row>
    <row r="573" spans="1:26" ht="12.75" customHeight="1" x14ac:dyDescent="0.25">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row>
    <row r="574" spans="1:26" ht="12.75" customHeight="1" x14ac:dyDescent="0.25">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row>
    <row r="575" spans="1:26" ht="12.75" customHeight="1" x14ac:dyDescent="0.25">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row>
    <row r="576" spans="1:26" ht="12.75" customHeight="1" x14ac:dyDescent="0.25">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row>
    <row r="577" spans="1:26" ht="12.75" customHeight="1" x14ac:dyDescent="0.25">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row>
    <row r="578" spans="1:26" ht="12.75" customHeight="1" x14ac:dyDescent="0.25">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row>
    <row r="579" spans="1:26" ht="12.75" customHeight="1" x14ac:dyDescent="0.25">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row>
    <row r="580" spans="1:26" ht="12.75" customHeight="1" x14ac:dyDescent="0.25">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row>
    <row r="581" spans="1:26" ht="12.75" customHeight="1" x14ac:dyDescent="0.25">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row>
    <row r="582" spans="1:26" ht="12.75" customHeight="1" x14ac:dyDescent="0.25">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row>
    <row r="583" spans="1:26" ht="12.75" customHeight="1" x14ac:dyDescent="0.25">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row>
    <row r="584" spans="1:26" ht="12.75" customHeight="1" x14ac:dyDescent="0.25">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row>
    <row r="585" spans="1:26" ht="12.75" customHeight="1" x14ac:dyDescent="0.25">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row>
    <row r="586" spans="1:26" ht="12.75" customHeight="1" x14ac:dyDescent="0.25">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row>
    <row r="587" spans="1:26" ht="12.75" customHeight="1" x14ac:dyDescent="0.25">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row>
    <row r="588" spans="1:26" ht="12.75" customHeight="1" x14ac:dyDescent="0.25">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row>
    <row r="589" spans="1:26" ht="12.75" customHeight="1" x14ac:dyDescent="0.25">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row>
    <row r="590" spans="1:26" ht="12.75" customHeight="1" x14ac:dyDescent="0.25">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row>
    <row r="591" spans="1:26" ht="12.75" customHeight="1" x14ac:dyDescent="0.25">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row>
    <row r="592" spans="1:26" ht="12.75" customHeight="1" x14ac:dyDescent="0.25">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row>
    <row r="593" spans="1:26" ht="12.75" customHeight="1" x14ac:dyDescent="0.25">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row>
    <row r="594" spans="1:26" ht="12.75" customHeight="1" x14ac:dyDescent="0.25">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row>
    <row r="595" spans="1:26" ht="12.75" customHeight="1" x14ac:dyDescent="0.25">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row>
    <row r="596" spans="1:26" ht="12.75" customHeight="1" x14ac:dyDescent="0.25">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row>
    <row r="597" spans="1:26" ht="12.75" customHeight="1" x14ac:dyDescent="0.25">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row>
    <row r="598" spans="1:26" ht="12.75" customHeight="1" x14ac:dyDescent="0.25">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row>
    <row r="599" spans="1:26" ht="12.75" customHeight="1" x14ac:dyDescent="0.25">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row>
    <row r="600" spans="1:26" ht="12.75" customHeight="1" x14ac:dyDescent="0.25">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row>
    <row r="601" spans="1:26" ht="12.75" customHeight="1" x14ac:dyDescent="0.25">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row>
    <row r="602" spans="1:26" ht="12.75" customHeight="1" x14ac:dyDescent="0.25">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row>
    <row r="603" spans="1:26" ht="12.75" customHeight="1" x14ac:dyDescent="0.25">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row>
    <row r="604" spans="1:26" ht="12.75" customHeight="1" x14ac:dyDescent="0.25">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row>
    <row r="605" spans="1:26" ht="12.75" customHeight="1" x14ac:dyDescent="0.25">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row>
    <row r="606" spans="1:26" ht="12.75" customHeight="1" x14ac:dyDescent="0.25">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row>
    <row r="607" spans="1:26" ht="12.75" customHeight="1" x14ac:dyDescent="0.25">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row>
    <row r="608" spans="1:26" ht="12.75" customHeight="1" x14ac:dyDescent="0.25">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row>
    <row r="609" spans="1:26" ht="12.75" customHeight="1" x14ac:dyDescent="0.25">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row>
    <row r="610" spans="1:26" ht="12.75" customHeight="1" x14ac:dyDescent="0.25">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row>
    <row r="611" spans="1:26" ht="12.75" customHeight="1" x14ac:dyDescent="0.25">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row>
    <row r="612" spans="1:26" ht="12.75" customHeight="1" x14ac:dyDescent="0.25">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row>
    <row r="613" spans="1:26" ht="12.75" customHeight="1" x14ac:dyDescent="0.25">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row>
    <row r="614" spans="1:26" ht="12.75" customHeight="1" x14ac:dyDescent="0.25">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row>
    <row r="615" spans="1:26" ht="12.75" customHeight="1" x14ac:dyDescent="0.25">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row>
    <row r="616" spans="1:26" ht="12.75" customHeight="1" x14ac:dyDescent="0.25">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row>
    <row r="617" spans="1:26" ht="12.75" customHeight="1" x14ac:dyDescent="0.25">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row>
    <row r="618" spans="1:26" ht="12.75" customHeight="1" x14ac:dyDescent="0.25">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row>
    <row r="619" spans="1:26" ht="12.75" customHeight="1" x14ac:dyDescent="0.25">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row>
    <row r="620" spans="1:26" ht="12.75" customHeight="1" x14ac:dyDescent="0.25">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row>
    <row r="621" spans="1:26" ht="12.75" customHeight="1" x14ac:dyDescent="0.25">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row>
    <row r="622" spans="1:26" ht="12.75" customHeight="1" x14ac:dyDescent="0.25">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row>
    <row r="623" spans="1:26" ht="12.75" customHeight="1" x14ac:dyDescent="0.25">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row>
    <row r="624" spans="1:26" ht="12.75" customHeight="1" x14ac:dyDescent="0.25">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row>
    <row r="625" spans="1:26" ht="12.75" customHeight="1" x14ac:dyDescent="0.25">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row>
    <row r="626" spans="1:26" ht="12.75" customHeight="1" x14ac:dyDescent="0.25">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row>
    <row r="627" spans="1:26" ht="12.75" customHeight="1" x14ac:dyDescent="0.25">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row>
    <row r="628" spans="1:26" ht="12.75" customHeight="1" x14ac:dyDescent="0.25">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row>
    <row r="629" spans="1:26" ht="12.75" customHeight="1" x14ac:dyDescent="0.25">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row>
    <row r="630" spans="1:26" ht="12.75" customHeight="1" x14ac:dyDescent="0.25">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row>
    <row r="631" spans="1:26" ht="12.75" customHeight="1" x14ac:dyDescent="0.25">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row>
    <row r="632" spans="1:26" ht="12.75" customHeight="1" x14ac:dyDescent="0.25">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row>
    <row r="633" spans="1:26" ht="12.75" customHeight="1" x14ac:dyDescent="0.25">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row>
    <row r="634" spans="1:26" ht="12.75" customHeight="1" x14ac:dyDescent="0.25">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row>
    <row r="635" spans="1:26" ht="12.75" customHeight="1" x14ac:dyDescent="0.25">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row>
    <row r="636" spans="1:26" ht="12.75" customHeight="1" x14ac:dyDescent="0.25">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row>
    <row r="637" spans="1:26" ht="12.75" customHeight="1" x14ac:dyDescent="0.25">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row>
    <row r="638" spans="1:26" ht="12.75" customHeight="1" x14ac:dyDescent="0.25">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row>
    <row r="639" spans="1:26" ht="12.75" customHeight="1" x14ac:dyDescent="0.25">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row>
    <row r="640" spans="1:26" ht="12.75" customHeight="1" x14ac:dyDescent="0.25">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row>
    <row r="641" spans="1:26" ht="12.75" customHeight="1" x14ac:dyDescent="0.25">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row>
    <row r="642" spans="1:26" ht="12.75" customHeight="1" x14ac:dyDescent="0.25">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row>
    <row r="643" spans="1:26" ht="12.75" customHeight="1" x14ac:dyDescent="0.25">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row>
    <row r="644" spans="1:26" ht="12.75" customHeight="1" x14ac:dyDescent="0.25">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row>
    <row r="645" spans="1:26" ht="12.75" customHeight="1" x14ac:dyDescent="0.25">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row>
    <row r="646" spans="1:26" ht="12.75" customHeight="1" x14ac:dyDescent="0.25">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row>
    <row r="647" spans="1:26" ht="12.75" customHeight="1" x14ac:dyDescent="0.25">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row>
    <row r="648" spans="1:26" ht="12.75" customHeight="1" x14ac:dyDescent="0.25">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row>
    <row r="649" spans="1:26" ht="12.75" customHeight="1" x14ac:dyDescent="0.25">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row>
    <row r="650" spans="1:26" ht="12.75" customHeight="1" x14ac:dyDescent="0.25">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row>
    <row r="651" spans="1:26" ht="12.75" customHeight="1" x14ac:dyDescent="0.25">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row>
    <row r="652" spans="1:26" ht="12.75" customHeight="1" x14ac:dyDescent="0.25">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row>
    <row r="653" spans="1:26" ht="12.75" customHeight="1" x14ac:dyDescent="0.25">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row>
    <row r="654" spans="1:26" ht="12.75" customHeight="1" x14ac:dyDescent="0.25">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row>
    <row r="655" spans="1:26" ht="12.75" customHeight="1" x14ac:dyDescent="0.25">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row>
    <row r="656" spans="1:26" ht="12.75" customHeight="1" x14ac:dyDescent="0.25">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row>
    <row r="657" spans="1:26" ht="12.75" customHeight="1" x14ac:dyDescent="0.25">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row>
    <row r="658" spans="1:26" ht="12.75" customHeight="1" x14ac:dyDescent="0.25">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row>
    <row r="659" spans="1:26" ht="12.75" customHeight="1" x14ac:dyDescent="0.25">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row>
    <row r="660" spans="1:26" ht="12.75" customHeight="1" x14ac:dyDescent="0.25">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row>
    <row r="661" spans="1:26" ht="12.75" customHeight="1" x14ac:dyDescent="0.25">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row>
    <row r="662" spans="1:26" ht="12.75" customHeight="1" x14ac:dyDescent="0.25">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row>
    <row r="663" spans="1:26" ht="12.75" customHeight="1" x14ac:dyDescent="0.25">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row>
    <row r="664" spans="1:26" ht="12.75" customHeight="1" x14ac:dyDescent="0.25">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row>
    <row r="665" spans="1:26" ht="12.75" customHeight="1" x14ac:dyDescent="0.25">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row>
    <row r="666" spans="1:26" ht="12.75" customHeight="1" x14ac:dyDescent="0.25">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row>
    <row r="667" spans="1:26" ht="12.75" customHeight="1" x14ac:dyDescent="0.25">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row>
    <row r="668" spans="1:26" ht="12.75" customHeight="1" x14ac:dyDescent="0.25">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row>
    <row r="669" spans="1:26" ht="12.75" customHeight="1" x14ac:dyDescent="0.25">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row>
    <row r="670" spans="1:26" ht="12.75" customHeight="1" x14ac:dyDescent="0.25">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row>
    <row r="671" spans="1:26" ht="12.75" customHeight="1" x14ac:dyDescent="0.25">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row>
    <row r="672" spans="1:26" ht="12.75" customHeight="1" x14ac:dyDescent="0.25">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row>
    <row r="673" spans="1:26" ht="12.75" customHeight="1" x14ac:dyDescent="0.25">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row>
    <row r="674" spans="1:26" ht="12.75" customHeight="1" x14ac:dyDescent="0.25">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row>
    <row r="675" spans="1:26" ht="12.75" customHeight="1" x14ac:dyDescent="0.25">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row>
    <row r="676" spans="1:26" ht="12.75" customHeight="1" x14ac:dyDescent="0.25">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row>
    <row r="677" spans="1:26" ht="12.75" customHeight="1" x14ac:dyDescent="0.25">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row>
    <row r="678" spans="1:26" ht="12.75" customHeight="1" x14ac:dyDescent="0.25">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row>
    <row r="679" spans="1:26" ht="12.75" customHeight="1" x14ac:dyDescent="0.25">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row>
    <row r="680" spans="1:26" ht="12.75" customHeight="1" x14ac:dyDescent="0.25">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row>
    <row r="681" spans="1:26" ht="12.75" customHeight="1" x14ac:dyDescent="0.25">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row>
    <row r="682" spans="1:26" ht="12.75" customHeight="1" x14ac:dyDescent="0.25">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row>
    <row r="683" spans="1:26" ht="12.75" customHeight="1" x14ac:dyDescent="0.25">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row>
    <row r="684" spans="1:26" ht="12.75" customHeight="1" x14ac:dyDescent="0.25">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row>
    <row r="685" spans="1:26" ht="12.75" customHeight="1" x14ac:dyDescent="0.25">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row>
    <row r="686" spans="1:26" ht="12.75" customHeight="1" x14ac:dyDescent="0.25">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row>
    <row r="687" spans="1:26" ht="12.75" customHeight="1" x14ac:dyDescent="0.25">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row>
    <row r="688" spans="1:26" ht="12.75" customHeight="1" x14ac:dyDescent="0.25">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row>
    <row r="689" spans="1:26" ht="12.75" customHeight="1" x14ac:dyDescent="0.25">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row>
    <row r="690" spans="1:26" ht="12.75" customHeight="1" x14ac:dyDescent="0.25">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row>
    <row r="691" spans="1:26" ht="12.75" customHeight="1" x14ac:dyDescent="0.25">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row>
    <row r="692" spans="1:26" ht="12.75" customHeight="1" x14ac:dyDescent="0.25">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row>
    <row r="693" spans="1:26" ht="12.75" customHeight="1" x14ac:dyDescent="0.25">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row>
    <row r="694" spans="1:26" ht="12.75" customHeight="1" x14ac:dyDescent="0.25">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row>
    <row r="695" spans="1:26" ht="12.75" customHeight="1" x14ac:dyDescent="0.25">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row>
    <row r="696" spans="1:26" ht="12.75" customHeight="1" x14ac:dyDescent="0.25">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row>
    <row r="697" spans="1:26" ht="12.75" customHeight="1" x14ac:dyDescent="0.25">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row>
    <row r="698" spans="1:26" ht="12.75" customHeight="1" x14ac:dyDescent="0.25">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row>
    <row r="699" spans="1:26" ht="12.75" customHeight="1" x14ac:dyDescent="0.25">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row>
    <row r="700" spans="1:26" ht="12.75" customHeight="1" x14ac:dyDescent="0.25">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row>
    <row r="701" spans="1:26" ht="12.75" customHeight="1" x14ac:dyDescent="0.25">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row>
    <row r="702" spans="1:26" ht="12.75" customHeight="1" x14ac:dyDescent="0.25">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row>
    <row r="703" spans="1:26" ht="12.75" customHeight="1" x14ac:dyDescent="0.25">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row>
    <row r="704" spans="1:26" ht="12.75" customHeight="1" x14ac:dyDescent="0.25">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row>
    <row r="705" spans="1:26" ht="12.75" customHeight="1" x14ac:dyDescent="0.25">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row>
    <row r="706" spans="1:26" ht="12.75" customHeight="1" x14ac:dyDescent="0.25">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row>
    <row r="707" spans="1:26" ht="12.75" customHeight="1" x14ac:dyDescent="0.25">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row>
    <row r="708" spans="1:26" ht="12.75" customHeight="1" x14ac:dyDescent="0.25">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row>
    <row r="709" spans="1:26" ht="12.75" customHeight="1" x14ac:dyDescent="0.25">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row>
    <row r="710" spans="1:26" ht="12.75" customHeight="1" x14ac:dyDescent="0.25">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row>
    <row r="711" spans="1:26" ht="12.75" customHeight="1" x14ac:dyDescent="0.25">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row>
    <row r="712" spans="1:26" ht="12.75" customHeight="1" x14ac:dyDescent="0.25">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row>
    <row r="713" spans="1:26" ht="12.75" customHeight="1" x14ac:dyDescent="0.25">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row>
    <row r="714" spans="1:26" ht="12.75" customHeight="1" x14ac:dyDescent="0.25">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row>
    <row r="715" spans="1:26" ht="12.75" customHeight="1" x14ac:dyDescent="0.25">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row>
    <row r="716" spans="1:26" ht="12.75" customHeight="1" x14ac:dyDescent="0.25">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row>
    <row r="717" spans="1:26" ht="12.75" customHeight="1" x14ac:dyDescent="0.25">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row>
    <row r="718" spans="1:26" ht="12.75" customHeight="1" x14ac:dyDescent="0.25">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row>
    <row r="719" spans="1:26" ht="12.75" customHeight="1" x14ac:dyDescent="0.25">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row>
    <row r="720" spans="1:26" ht="12.75" customHeight="1" x14ac:dyDescent="0.25">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row>
    <row r="721" spans="1:26" ht="12.75" customHeight="1" x14ac:dyDescent="0.25">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row>
    <row r="722" spans="1:26" ht="12.75" customHeight="1" x14ac:dyDescent="0.25">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row>
    <row r="723" spans="1:26" ht="12.75" customHeight="1" x14ac:dyDescent="0.25">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row>
    <row r="724" spans="1:26" ht="12.75" customHeight="1" x14ac:dyDescent="0.25">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row>
    <row r="725" spans="1:26" ht="12.75" customHeight="1" x14ac:dyDescent="0.25">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row>
    <row r="726" spans="1:26" ht="12.75" customHeight="1" x14ac:dyDescent="0.25">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row>
    <row r="727" spans="1:26" ht="12.75" customHeight="1" x14ac:dyDescent="0.25">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row>
    <row r="728" spans="1:26" ht="12.75" customHeight="1" x14ac:dyDescent="0.25">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row>
    <row r="729" spans="1:26" ht="12.75" customHeight="1" x14ac:dyDescent="0.25">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row>
    <row r="730" spans="1:26" ht="12.75" customHeight="1" x14ac:dyDescent="0.25">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row>
    <row r="731" spans="1:26" ht="12.75" customHeight="1" x14ac:dyDescent="0.25">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row>
    <row r="732" spans="1:26" ht="12.75" customHeight="1" x14ac:dyDescent="0.25">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row>
    <row r="733" spans="1:26" ht="12.75" customHeight="1" x14ac:dyDescent="0.25">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row>
    <row r="734" spans="1:26" ht="12.75" customHeight="1" x14ac:dyDescent="0.25">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row>
    <row r="735" spans="1:26" ht="12.75" customHeight="1" x14ac:dyDescent="0.25">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row>
    <row r="736" spans="1:26" ht="12.75" customHeight="1" x14ac:dyDescent="0.25">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row>
    <row r="737" spans="1:26" ht="12.75" customHeight="1" x14ac:dyDescent="0.25">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row>
    <row r="738" spans="1:26" ht="12.75" customHeight="1" x14ac:dyDescent="0.25">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row>
    <row r="739" spans="1:26" ht="12.75" customHeight="1" x14ac:dyDescent="0.25">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row>
    <row r="740" spans="1:26" ht="12.75" customHeight="1" x14ac:dyDescent="0.25">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row>
    <row r="741" spans="1:26" ht="12.75" customHeight="1" x14ac:dyDescent="0.25">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row>
    <row r="742" spans="1:26" ht="12.75" customHeight="1" x14ac:dyDescent="0.25">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row>
    <row r="743" spans="1:26" ht="12.75" customHeight="1" x14ac:dyDescent="0.25">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row>
    <row r="744" spans="1:26" ht="12.75" customHeight="1" x14ac:dyDescent="0.25">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row>
    <row r="745" spans="1:26" ht="12.75" customHeight="1" x14ac:dyDescent="0.25">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row>
    <row r="746" spans="1:26" ht="12.75" customHeight="1" x14ac:dyDescent="0.25">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row>
    <row r="747" spans="1:26" ht="12.75" customHeight="1" x14ac:dyDescent="0.25">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row>
    <row r="748" spans="1:26" ht="12.75" customHeight="1" x14ac:dyDescent="0.25">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row>
    <row r="749" spans="1:26" ht="12.75" customHeight="1" x14ac:dyDescent="0.25">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row>
    <row r="750" spans="1:26" ht="12.75" customHeight="1" x14ac:dyDescent="0.25">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row>
    <row r="751" spans="1:26" ht="12.75" customHeight="1" x14ac:dyDescent="0.25">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row>
    <row r="752" spans="1:26" ht="12.75" customHeight="1" x14ac:dyDescent="0.25">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row>
    <row r="753" spans="1:26" ht="12.75" customHeight="1" x14ac:dyDescent="0.25">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row>
    <row r="754" spans="1:26" ht="12.75" customHeight="1" x14ac:dyDescent="0.25">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row>
    <row r="755" spans="1:26" ht="12.75" customHeight="1" x14ac:dyDescent="0.25">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row>
    <row r="756" spans="1:26" ht="12.75" customHeight="1" x14ac:dyDescent="0.25">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row>
    <row r="757" spans="1:26" ht="12.75" customHeight="1" x14ac:dyDescent="0.25">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row>
    <row r="758" spans="1:26" ht="12.75" customHeight="1" x14ac:dyDescent="0.25">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row>
    <row r="759" spans="1:26" ht="12.75" customHeight="1" x14ac:dyDescent="0.25">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row>
    <row r="760" spans="1:26" ht="12.75" customHeight="1" x14ac:dyDescent="0.25">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row>
    <row r="761" spans="1:26" ht="12.75" customHeight="1" x14ac:dyDescent="0.25">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row>
    <row r="762" spans="1:26" ht="12.75" customHeight="1" x14ac:dyDescent="0.25">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row>
    <row r="763" spans="1:26" ht="12.75" customHeight="1" x14ac:dyDescent="0.25">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row>
    <row r="764" spans="1:26" ht="12.75" customHeight="1" x14ac:dyDescent="0.25">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row>
    <row r="765" spans="1:26" ht="12.75" customHeight="1" x14ac:dyDescent="0.25">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row>
    <row r="766" spans="1:26" ht="12.75" customHeight="1" x14ac:dyDescent="0.25">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row>
    <row r="767" spans="1:26" ht="12.75" customHeight="1" x14ac:dyDescent="0.25">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row>
    <row r="768" spans="1:26" ht="12.75" customHeight="1" x14ac:dyDescent="0.25">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row>
    <row r="769" spans="1:26" ht="12.75" customHeight="1" x14ac:dyDescent="0.25">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row>
    <row r="770" spans="1:26" ht="12.75" customHeight="1" x14ac:dyDescent="0.25">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row>
    <row r="771" spans="1:26" ht="12.75" customHeight="1" x14ac:dyDescent="0.25">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row>
    <row r="772" spans="1:26" ht="12.75" customHeight="1" x14ac:dyDescent="0.25">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row>
    <row r="773" spans="1:26" ht="12.75" customHeight="1" x14ac:dyDescent="0.25">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row>
    <row r="774" spans="1:26" ht="12.75" customHeight="1" x14ac:dyDescent="0.25">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row>
    <row r="775" spans="1:26" ht="12.75" customHeight="1" x14ac:dyDescent="0.25">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row>
    <row r="776" spans="1:26" ht="12.75" customHeight="1" x14ac:dyDescent="0.25">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row>
    <row r="777" spans="1:26" ht="12.75" customHeight="1" x14ac:dyDescent="0.25">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row>
    <row r="778" spans="1:26" ht="12.75" customHeight="1" x14ac:dyDescent="0.25">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row>
    <row r="779" spans="1:26" ht="12.75" customHeight="1" x14ac:dyDescent="0.25">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row>
    <row r="780" spans="1:26" ht="12.75" customHeight="1" x14ac:dyDescent="0.25">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row>
    <row r="781" spans="1:26" ht="12.75" customHeight="1" x14ac:dyDescent="0.25">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row>
    <row r="782" spans="1:26" ht="12.75" customHeight="1" x14ac:dyDescent="0.25">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row>
    <row r="783" spans="1:26" ht="12.75" customHeight="1" x14ac:dyDescent="0.25">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row>
    <row r="784" spans="1:26" ht="12.75" customHeight="1" x14ac:dyDescent="0.25">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row>
    <row r="785" spans="1:26" ht="12.75" customHeight="1" x14ac:dyDescent="0.25">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row>
    <row r="786" spans="1:26" ht="12.75" customHeight="1" x14ac:dyDescent="0.25">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row>
    <row r="787" spans="1:26" ht="12.75" customHeight="1" x14ac:dyDescent="0.25">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row>
    <row r="788" spans="1:26" ht="12.75" customHeight="1" x14ac:dyDescent="0.25">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row>
    <row r="789" spans="1:26" ht="12.75" customHeight="1" x14ac:dyDescent="0.25">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row>
    <row r="790" spans="1:26" ht="12.75" customHeight="1" x14ac:dyDescent="0.25">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row>
    <row r="791" spans="1:26" ht="12.75" customHeight="1" x14ac:dyDescent="0.25">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row>
    <row r="792" spans="1:26" ht="12.75" customHeight="1" x14ac:dyDescent="0.25">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row>
    <row r="793" spans="1:26" ht="12.75" customHeight="1" x14ac:dyDescent="0.25">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row>
    <row r="794" spans="1:26" ht="12.75" customHeight="1" x14ac:dyDescent="0.25">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row>
    <row r="795" spans="1:26" ht="12.75" customHeight="1" x14ac:dyDescent="0.25">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row>
    <row r="796" spans="1:26" ht="12.75" customHeight="1" x14ac:dyDescent="0.25">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row>
    <row r="797" spans="1:26" ht="12.75" customHeight="1" x14ac:dyDescent="0.25">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row>
    <row r="798" spans="1:26" ht="12.75" customHeight="1" x14ac:dyDescent="0.25">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row>
    <row r="799" spans="1:26" ht="12.75" customHeight="1" x14ac:dyDescent="0.25">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row>
    <row r="800" spans="1:26" ht="12.75" customHeight="1" x14ac:dyDescent="0.25">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row>
    <row r="801" spans="1:26" ht="12.75" customHeight="1" x14ac:dyDescent="0.25">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row>
    <row r="802" spans="1:26" ht="12.75" customHeight="1" x14ac:dyDescent="0.25">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row>
    <row r="803" spans="1:26" ht="12.75" customHeight="1" x14ac:dyDescent="0.25">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row>
    <row r="804" spans="1:26" ht="12.75" customHeight="1" x14ac:dyDescent="0.25">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row>
    <row r="805" spans="1:26" ht="12.75" customHeight="1" x14ac:dyDescent="0.25">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row>
    <row r="806" spans="1:26" ht="12.75" customHeight="1" x14ac:dyDescent="0.25">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row>
    <row r="807" spans="1:26" ht="12.75" customHeight="1" x14ac:dyDescent="0.25">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row>
    <row r="808" spans="1:26" ht="12.75" customHeight="1" x14ac:dyDescent="0.25">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row>
    <row r="809" spans="1:26" ht="12.75" customHeight="1" x14ac:dyDescent="0.25">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row>
    <row r="810" spans="1:26" ht="12.75" customHeight="1" x14ac:dyDescent="0.25">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row>
    <row r="811" spans="1:26" ht="12.75" customHeight="1" x14ac:dyDescent="0.25">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row>
    <row r="812" spans="1:26" ht="12.75" customHeight="1" x14ac:dyDescent="0.25">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row>
    <row r="813" spans="1:26" ht="12.75" customHeight="1" x14ac:dyDescent="0.25">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row>
    <row r="814" spans="1:26" ht="12.75" customHeight="1" x14ac:dyDescent="0.25">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row>
    <row r="815" spans="1:26" ht="12.75" customHeight="1" x14ac:dyDescent="0.25">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row>
    <row r="816" spans="1:26" ht="12.75" customHeight="1" x14ac:dyDescent="0.25">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row>
    <row r="817" spans="1:26" ht="12.75" customHeight="1" x14ac:dyDescent="0.25">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row>
    <row r="818" spans="1:26" ht="12.75" customHeight="1" x14ac:dyDescent="0.25">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row>
    <row r="819" spans="1:26" ht="12.75" customHeight="1" x14ac:dyDescent="0.25">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row>
    <row r="820" spans="1:26" ht="12.75" customHeight="1" x14ac:dyDescent="0.25">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row>
    <row r="821" spans="1:26" ht="12.75" customHeight="1" x14ac:dyDescent="0.25">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row>
    <row r="822" spans="1:26" ht="12.75" customHeight="1" x14ac:dyDescent="0.25">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row>
    <row r="823" spans="1:26" ht="12.75" customHeight="1" x14ac:dyDescent="0.25">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row>
    <row r="824" spans="1:26" ht="12.75" customHeight="1" x14ac:dyDescent="0.25">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row>
    <row r="825" spans="1:26" ht="12.75" customHeight="1" x14ac:dyDescent="0.25">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row>
    <row r="826" spans="1:26" ht="12.75" customHeight="1" x14ac:dyDescent="0.25">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row>
    <row r="827" spans="1:26" ht="12.75" customHeight="1" x14ac:dyDescent="0.25">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row>
    <row r="828" spans="1:26" ht="12.75" customHeight="1" x14ac:dyDescent="0.25">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row>
    <row r="829" spans="1:26" ht="12.75" customHeight="1" x14ac:dyDescent="0.25">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row>
    <row r="830" spans="1:26" ht="12.75" customHeight="1" x14ac:dyDescent="0.25">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row>
    <row r="831" spans="1:26" ht="12.75" customHeight="1" x14ac:dyDescent="0.25">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row>
    <row r="832" spans="1:26" ht="12.75" customHeight="1" x14ac:dyDescent="0.25">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row>
    <row r="833" spans="1:26" ht="12.75" customHeight="1" x14ac:dyDescent="0.25">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row>
    <row r="834" spans="1:26" ht="12.75" customHeight="1" x14ac:dyDescent="0.25">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row>
    <row r="835" spans="1:26" ht="12.75" customHeight="1" x14ac:dyDescent="0.2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row>
    <row r="836" spans="1:26" ht="12.75" customHeight="1" x14ac:dyDescent="0.25">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row>
    <row r="837" spans="1:26" ht="12.75" customHeight="1" x14ac:dyDescent="0.25">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row>
    <row r="838" spans="1:26" ht="12.75" customHeight="1" x14ac:dyDescent="0.25">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row>
    <row r="839" spans="1:26" ht="12.75" customHeight="1" x14ac:dyDescent="0.25">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row>
    <row r="840" spans="1:26" ht="12.75" customHeight="1" x14ac:dyDescent="0.25">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row>
    <row r="841" spans="1:26" ht="12.75" customHeight="1" x14ac:dyDescent="0.25">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row>
    <row r="842" spans="1:26" ht="12.75" customHeight="1" x14ac:dyDescent="0.25">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row>
    <row r="843" spans="1:26" ht="12.75" customHeight="1" x14ac:dyDescent="0.25">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row>
    <row r="844" spans="1:26" ht="12.75" customHeight="1" x14ac:dyDescent="0.25">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row>
    <row r="845" spans="1:26" ht="12.75" customHeight="1" x14ac:dyDescent="0.2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row>
    <row r="846" spans="1:26" ht="12.75" customHeight="1" x14ac:dyDescent="0.25">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row>
    <row r="847" spans="1:26" ht="12.75" customHeight="1" x14ac:dyDescent="0.25">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row>
    <row r="848" spans="1:26" ht="12.75" customHeight="1" x14ac:dyDescent="0.25">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row>
    <row r="849" spans="1:26" ht="12.75" customHeight="1" x14ac:dyDescent="0.25">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row>
    <row r="850" spans="1:26" ht="12.75" customHeight="1" x14ac:dyDescent="0.25">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row>
    <row r="851" spans="1:26" ht="12.75" customHeight="1" x14ac:dyDescent="0.25">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row>
    <row r="852" spans="1:26" ht="12.75" customHeight="1" x14ac:dyDescent="0.25">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row>
    <row r="853" spans="1:26" ht="12.75" customHeight="1" x14ac:dyDescent="0.25">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row>
    <row r="854" spans="1:26" ht="12.75" customHeight="1" x14ac:dyDescent="0.25">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row>
    <row r="855" spans="1:26" ht="12.75" customHeight="1" x14ac:dyDescent="0.2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row>
    <row r="856" spans="1:26" ht="12.75" customHeight="1" x14ac:dyDescent="0.25">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row>
    <row r="857" spans="1:26" ht="12.75" customHeight="1" x14ac:dyDescent="0.25">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row>
    <row r="858" spans="1:26" ht="12.75" customHeight="1" x14ac:dyDescent="0.25">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row>
    <row r="859" spans="1:26" ht="12.75" customHeight="1" x14ac:dyDescent="0.25">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row>
    <row r="860" spans="1:26" ht="12.75" customHeight="1" x14ac:dyDescent="0.25">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row>
    <row r="861" spans="1:26" ht="12.75" customHeight="1" x14ac:dyDescent="0.25">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row>
    <row r="862" spans="1:26" ht="12.75" customHeight="1" x14ac:dyDescent="0.25">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row>
    <row r="863" spans="1:26" ht="12.75" customHeight="1" x14ac:dyDescent="0.25">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row>
    <row r="864" spans="1:26" ht="12.75" customHeight="1" x14ac:dyDescent="0.25">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row>
    <row r="865" spans="1:26" ht="12.75" customHeight="1" x14ac:dyDescent="0.2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row>
    <row r="866" spans="1:26" ht="12.75" customHeight="1" x14ac:dyDescent="0.25">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row>
    <row r="867" spans="1:26" ht="12.75" customHeight="1" x14ac:dyDescent="0.25">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row>
    <row r="868" spans="1:26" ht="12.75" customHeight="1" x14ac:dyDescent="0.25">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row>
    <row r="869" spans="1:26" ht="12.75" customHeight="1" x14ac:dyDescent="0.25">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row>
    <row r="870" spans="1:26" ht="12.75" customHeight="1" x14ac:dyDescent="0.25">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row>
    <row r="871" spans="1:26" ht="12.75" customHeight="1" x14ac:dyDescent="0.25">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row>
    <row r="872" spans="1:26" ht="12.75" customHeight="1" x14ac:dyDescent="0.25">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row>
    <row r="873" spans="1:26" ht="12.75" customHeight="1" x14ac:dyDescent="0.25">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row>
    <row r="874" spans="1:26" ht="12.75" customHeight="1" x14ac:dyDescent="0.25">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row>
    <row r="875" spans="1:26" ht="12.75" customHeight="1" x14ac:dyDescent="0.25">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row>
    <row r="876" spans="1:26" ht="12.75" customHeight="1" x14ac:dyDescent="0.25">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row>
    <row r="877" spans="1:26" ht="12.75" customHeight="1" x14ac:dyDescent="0.25">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row>
    <row r="878" spans="1:26" ht="12.75" customHeight="1" x14ac:dyDescent="0.25">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row>
    <row r="879" spans="1:26" ht="12.75" customHeight="1" x14ac:dyDescent="0.25">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row>
    <row r="880" spans="1:26" ht="12.75" customHeight="1" x14ac:dyDescent="0.25">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row>
    <row r="881" spans="1:26" ht="12.75" customHeight="1" x14ac:dyDescent="0.25">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row>
    <row r="882" spans="1:26" ht="12.75" customHeight="1" x14ac:dyDescent="0.25">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row>
    <row r="883" spans="1:26" ht="12.75" customHeight="1" x14ac:dyDescent="0.25">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row>
    <row r="884" spans="1:26" ht="12.75" customHeight="1" x14ac:dyDescent="0.25">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row>
    <row r="885" spans="1:26" ht="12.75" customHeight="1" x14ac:dyDescent="0.25">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row>
    <row r="886" spans="1:26" ht="12.75" customHeight="1" x14ac:dyDescent="0.25">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row>
    <row r="887" spans="1:26" ht="12.75" customHeight="1" x14ac:dyDescent="0.25">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row>
    <row r="888" spans="1:26" ht="12.75" customHeight="1" x14ac:dyDescent="0.25">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row>
    <row r="889" spans="1:26" ht="12.75" customHeight="1" x14ac:dyDescent="0.25">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row>
    <row r="890" spans="1:26" ht="12.75" customHeight="1" x14ac:dyDescent="0.25">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row>
    <row r="891" spans="1:26" ht="12.75" customHeight="1" x14ac:dyDescent="0.25">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row>
    <row r="892" spans="1:26" ht="12.75" customHeight="1" x14ac:dyDescent="0.25">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row>
    <row r="893" spans="1:26" ht="12.75" customHeight="1" x14ac:dyDescent="0.25">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row>
    <row r="894" spans="1:26" ht="12.75" customHeight="1" x14ac:dyDescent="0.25">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row>
    <row r="895" spans="1:26" ht="12.75" customHeight="1" x14ac:dyDescent="0.25">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row>
    <row r="896" spans="1:26" ht="12.75" customHeight="1" x14ac:dyDescent="0.25">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row>
    <row r="897" spans="1:26" ht="12.75" customHeight="1" x14ac:dyDescent="0.25">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row>
    <row r="898" spans="1:26" ht="12.75" customHeight="1" x14ac:dyDescent="0.25">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row>
    <row r="899" spans="1:26" ht="12.75" customHeight="1" x14ac:dyDescent="0.25">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row>
    <row r="900" spans="1:26" ht="12.75" customHeight="1" x14ac:dyDescent="0.25">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row>
    <row r="901" spans="1:26" ht="12.75" customHeight="1" x14ac:dyDescent="0.25">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row>
    <row r="902" spans="1:26" ht="12.75" customHeight="1" x14ac:dyDescent="0.25">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row>
    <row r="903" spans="1:26" ht="12.75" customHeight="1" x14ac:dyDescent="0.25">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row>
    <row r="904" spans="1:26" ht="12.75" customHeight="1" x14ac:dyDescent="0.25">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row>
    <row r="905" spans="1:26" ht="12.75" customHeight="1" x14ac:dyDescent="0.25">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row>
    <row r="906" spans="1:26" ht="12.75" customHeight="1" x14ac:dyDescent="0.25">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row>
    <row r="907" spans="1:26" ht="12.75" customHeight="1" x14ac:dyDescent="0.25">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row>
    <row r="908" spans="1:26" ht="12.75" customHeight="1" x14ac:dyDescent="0.25">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row>
    <row r="909" spans="1:26" ht="12.75" customHeight="1" x14ac:dyDescent="0.25">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row>
    <row r="910" spans="1:26" ht="12.75" customHeight="1" x14ac:dyDescent="0.25">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row>
    <row r="911" spans="1:26" ht="12.75" customHeight="1" x14ac:dyDescent="0.25">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row>
    <row r="912" spans="1:26" ht="12.75" customHeight="1" x14ac:dyDescent="0.25">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row>
    <row r="913" spans="1:26" ht="12.75" customHeight="1" x14ac:dyDescent="0.25">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row>
    <row r="914" spans="1:26" ht="12.75" customHeight="1" x14ac:dyDescent="0.25">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row>
    <row r="915" spans="1:26" ht="12.75" customHeight="1" x14ac:dyDescent="0.25">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row>
    <row r="916" spans="1:26" ht="12.75" customHeight="1" x14ac:dyDescent="0.25">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row>
    <row r="917" spans="1:26" ht="12.75" customHeight="1" x14ac:dyDescent="0.25">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row>
    <row r="918" spans="1:26" ht="12.75" customHeight="1" x14ac:dyDescent="0.25">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row>
    <row r="919" spans="1:26" ht="12.75" customHeight="1" x14ac:dyDescent="0.25">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row>
    <row r="920" spans="1:26" ht="12.75" customHeight="1" x14ac:dyDescent="0.25">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row>
    <row r="921" spans="1:26" ht="12.75" customHeight="1" x14ac:dyDescent="0.25">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row>
    <row r="922" spans="1:26" ht="12.75" customHeight="1" x14ac:dyDescent="0.25">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row>
    <row r="923" spans="1:26" ht="12.75" customHeight="1" x14ac:dyDescent="0.25">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row>
    <row r="924" spans="1:26" ht="12.75" customHeight="1" x14ac:dyDescent="0.25">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row>
    <row r="925" spans="1:26" ht="12.75" customHeight="1" x14ac:dyDescent="0.25">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row>
    <row r="926" spans="1:26" ht="12.75" customHeight="1" x14ac:dyDescent="0.25">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row>
    <row r="927" spans="1:26" ht="12.75" customHeight="1" x14ac:dyDescent="0.25">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row>
    <row r="928" spans="1:26" ht="12.75" customHeight="1" x14ac:dyDescent="0.25">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row>
    <row r="929" spans="1:26" ht="12.75" customHeight="1" x14ac:dyDescent="0.25">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row>
    <row r="930" spans="1:26" ht="12.75" customHeight="1" x14ac:dyDescent="0.25">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row>
    <row r="931" spans="1:26" ht="12.75" customHeight="1" x14ac:dyDescent="0.25">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row>
    <row r="932" spans="1:26" ht="12.75" customHeight="1" x14ac:dyDescent="0.25">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row>
    <row r="933" spans="1:26" ht="12.75" customHeight="1" x14ac:dyDescent="0.25">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row>
    <row r="934" spans="1:26" ht="12.75" customHeight="1" x14ac:dyDescent="0.25">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row>
    <row r="935" spans="1:26" ht="12.75" customHeight="1" x14ac:dyDescent="0.25">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row>
    <row r="936" spans="1:26" ht="12.75" customHeight="1" x14ac:dyDescent="0.25">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row>
    <row r="937" spans="1:26" ht="12.75" customHeight="1" x14ac:dyDescent="0.25">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row>
    <row r="938" spans="1:26" ht="12.75" customHeight="1" x14ac:dyDescent="0.25">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row>
    <row r="939" spans="1:26" ht="12.75" customHeight="1" x14ac:dyDescent="0.25">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row>
    <row r="940" spans="1:26" ht="12.75" customHeight="1" x14ac:dyDescent="0.25">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row>
    <row r="941" spans="1:26" ht="12.75" customHeight="1" x14ac:dyDescent="0.25">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row>
    <row r="942" spans="1:26" ht="12.75" customHeight="1" x14ac:dyDescent="0.25">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row>
    <row r="943" spans="1:26" ht="12.75" customHeight="1" x14ac:dyDescent="0.25">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row>
    <row r="944" spans="1:26" ht="12.75" customHeight="1" x14ac:dyDescent="0.25">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row>
    <row r="945" spans="1:26" ht="12.75" customHeight="1" x14ac:dyDescent="0.25">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row>
    <row r="946" spans="1:26" ht="12.75" customHeight="1" x14ac:dyDescent="0.25">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row>
    <row r="947" spans="1:26" ht="12.75" customHeight="1" x14ac:dyDescent="0.25">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row>
    <row r="948" spans="1:26" ht="12.75" customHeight="1" x14ac:dyDescent="0.25">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row>
    <row r="949" spans="1:26" ht="12.75" customHeight="1" x14ac:dyDescent="0.25">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row>
    <row r="950" spans="1:26" ht="12.75" customHeight="1" x14ac:dyDescent="0.25">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row>
    <row r="951" spans="1:26" ht="12.75" customHeight="1" x14ac:dyDescent="0.25">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row>
    <row r="952" spans="1:26" ht="12.75" customHeight="1" x14ac:dyDescent="0.25">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row>
    <row r="953" spans="1:26" ht="12.75" customHeight="1" x14ac:dyDescent="0.25">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row>
    <row r="954" spans="1:26" ht="12.75" customHeight="1" x14ac:dyDescent="0.25">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row>
    <row r="955" spans="1:26" ht="12.75" customHeight="1" x14ac:dyDescent="0.25">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row>
    <row r="956" spans="1:26" ht="12.75" customHeight="1" x14ac:dyDescent="0.25">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row>
    <row r="957" spans="1:26" ht="12.75" customHeight="1" x14ac:dyDescent="0.25">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row>
    <row r="958" spans="1:26" ht="12.75" customHeight="1" x14ac:dyDescent="0.25">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row>
    <row r="959" spans="1:26" ht="12.75" customHeight="1" x14ac:dyDescent="0.25">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row>
    <row r="960" spans="1:26" ht="12.75" customHeight="1" x14ac:dyDescent="0.25">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row>
    <row r="961" spans="1:26" ht="12.75" customHeight="1" x14ac:dyDescent="0.25">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row>
    <row r="962" spans="1:26" ht="12.75" customHeight="1" x14ac:dyDescent="0.25">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row>
    <row r="963" spans="1:26" ht="12.75" customHeight="1" x14ac:dyDescent="0.25">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row>
    <row r="964" spans="1:26" ht="12.75" customHeight="1" x14ac:dyDescent="0.25">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row>
    <row r="965" spans="1:26" ht="12.75" customHeight="1" x14ac:dyDescent="0.25">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row>
    <row r="966" spans="1:26" ht="12.75" customHeight="1" x14ac:dyDescent="0.25">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row>
    <row r="967" spans="1:26" ht="12.75" customHeight="1" x14ac:dyDescent="0.25">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row>
    <row r="968" spans="1:26" ht="12.75" customHeight="1" x14ac:dyDescent="0.25">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row>
    <row r="969" spans="1:26" ht="12.75" customHeight="1" x14ac:dyDescent="0.25">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row>
    <row r="970" spans="1:26" ht="12.75" customHeight="1" x14ac:dyDescent="0.25">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row>
    <row r="971" spans="1:26" ht="12.75" customHeight="1" x14ac:dyDescent="0.25">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row>
    <row r="972" spans="1:26" ht="12.75" customHeight="1" x14ac:dyDescent="0.25">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row>
    <row r="973" spans="1:26" ht="12.75" customHeight="1" x14ac:dyDescent="0.25">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row>
    <row r="974" spans="1:26" ht="12.75" customHeight="1" x14ac:dyDescent="0.25">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row>
    <row r="975" spans="1:26" ht="12.75" customHeight="1" x14ac:dyDescent="0.25">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row>
    <row r="976" spans="1:26" ht="12.75" customHeight="1" x14ac:dyDescent="0.25">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row>
    <row r="977" spans="1:26" ht="12.75" customHeight="1" x14ac:dyDescent="0.25">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row>
    <row r="978" spans="1:26" ht="12.75" customHeight="1" x14ac:dyDescent="0.25">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row>
    <row r="979" spans="1:26" ht="12.75" customHeight="1" x14ac:dyDescent="0.25">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row>
    <row r="980" spans="1:26" ht="12.75" customHeight="1" x14ac:dyDescent="0.25">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row>
    <row r="981" spans="1:26" ht="12.75" customHeight="1" x14ac:dyDescent="0.25">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row>
    <row r="982" spans="1:26" ht="12.75" customHeight="1" x14ac:dyDescent="0.25">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row>
    <row r="983" spans="1:26" ht="12.75" customHeight="1" x14ac:dyDescent="0.25">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row>
    <row r="984" spans="1:26" ht="12.75" customHeight="1" x14ac:dyDescent="0.25">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row>
    <row r="985" spans="1:26" ht="12.75" customHeight="1" x14ac:dyDescent="0.2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row>
    <row r="986" spans="1:26" ht="12.75" customHeight="1" x14ac:dyDescent="0.25">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row>
    <row r="987" spans="1:26" ht="12.75" customHeight="1" x14ac:dyDescent="0.25">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row>
    <row r="988" spans="1:26" ht="12.75" customHeight="1" x14ac:dyDescent="0.25">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row>
    <row r="989" spans="1:26" ht="12.75" customHeight="1" x14ac:dyDescent="0.25">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row>
    <row r="990" spans="1:26" ht="12.75" customHeight="1" x14ac:dyDescent="0.25">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row>
    <row r="991" spans="1:26" ht="12.75" customHeight="1" x14ac:dyDescent="0.25">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row>
    <row r="992" spans="1:26" ht="12.75" customHeight="1" x14ac:dyDescent="0.25">
      <c r="A992" s="154"/>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row>
    <row r="993" spans="1:26" ht="12.75" customHeight="1" x14ac:dyDescent="0.25">
      <c r="A993" s="154"/>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row>
    <row r="994" spans="1:26" ht="12.75" customHeight="1" x14ac:dyDescent="0.25">
      <c r="A994" s="154"/>
      <c r="B994" s="154"/>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row>
    <row r="995" spans="1:26" ht="12.75" customHeight="1" x14ac:dyDescent="0.25">
      <c r="A995" s="154"/>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row>
    <row r="996" spans="1:26" ht="12.75" customHeight="1" x14ac:dyDescent="0.25">
      <c r="A996" s="154"/>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row>
    <row r="997" spans="1:26" ht="12.75" customHeight="1" x14ac:dyDescent="0.25">
      <c r="A997" s="154"/>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row>
    <row r="998" spans="1:26" ht="12.75" customHeight="1" x14ac:dyDescent="0.25">
      <c r="A998" s="154"/>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row>
    <row r="999" spans="1:26" ht="12.75" customHeight="1" x14ac:dyDescent="0.25">
      <c r="A999" s="154"/>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row>
    <row r="1000" spans="1:26" ht="12.75" customHeight="1" x14ac:dyDescent="0.25">
      <c r="A1000" s="154"/>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row>
  </sheetData>
  <mergeCells count="4">
    <mergeCell ref="A1:H2"/>
    <mergeCell ref="A3:B3"/>
    <mergeCell ref="D3:H3"/>
    <mergeCell ref="K3:N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 Self-Assessment</vt:lpstr>
      <vt:lpstr>ASSESSMENT RUBRIC</vt:lpstr>
      <vt:lpstr>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Grigg, Robert</dc:creator>
  <cp:keywords/>
  <dc:description/>
  <cp:lastModifiedBy>Jaberi, Mohammadali (244437)</cp:lastModifiedBy>
  <cp:revision/>
  <dcterms:created xsi:type="dcterms:W3CDTF">2020-09-10T10:56:24Z</dcterms:created>
  <dcterms:modified xsi:type="dcterms:W3CDTF">2024-11-19T21:21:19Z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Order">
    <vt:r8>1900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