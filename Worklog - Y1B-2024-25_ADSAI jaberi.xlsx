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sus\Desktop\First year Block B\Deliverable block B\"/>
    </mc:Choice>
  </mc:AlternateContent>
  <xr:revisionPtr revIDLastSave="0" documentId="13_ncr:1_{FA58EF21-08D7-491D-A3E2-FCD59D095C41}" xr6:coauthVersionLast="47" xr6:coauthVersionMax="47" xr10:uidLastSave="{00000000-0000-0000-0000-000000000000}"/>
  <bookViews>
    <workbookView xWindow="768" yWindow="768" windowWidth="17280" windowHeight="8880"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'Worklog_Tasks&amp;Times'!$A$1:$K$21</definedName>
    <definedName name="_xlnm.Print_Area" localSheetId="0">'Worklog_Tasks&amp;Times'!$A$1:$K$128</definedName>
    <definedName name="Z_8BAC9A6B_5D32_4E8D_967D_E17D357516F8_.wvu.FilterData" localSheetId="0" hidden="1">'Worklog_Tasks&amp;Times'!$A$1:$K$21</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7" i="1" l="1"/>
  <c r="I126" i="1"/>
  <c r="I117" i="1"/>
  <c r="I110" i="1"/>
  <c r="I109" i="1"/>
  <c r="I108" i="1"/>
  <c r="I88" i="1"/>
  <c r="I89" i="1"/>
  <c r="I90" i="1"/>
  <c r="I91" i="1"/>
  <c r="I74" i="1"/>
  <c r="I75" i="1"/>
  <c r="I77" i="1"/>
  <c r="I56" i="1"/>
  <c r="I57" i="1"/>
  <c r="I58" i="1"/>
  <c r="I52" i="1"/>
  <c r="I53" i="1"/>
  <c r="I54" i="1"/>
  <c r="I55" i="1"/>
  <c r="J26" i="1"/>
  <c r="J5" i="1"/>
  <c r="I33" i="1"/>
  <c r="I34" i="1"/>
  <c r="I35" i="1"/>
  <c r="I36" i="1"/>
  <c r="I37" i="1"/>
  <c r="I38" i="1"/>
  <c r="I19" i="1"/>
  <c r="I14" i="1"/>
  <c r="I15" i="1"/>
  <c r="I16" i="1"/>
  <c r="I17" i="1"/>
  <c r="I18" i="1"/>
  <c r="I13"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43" i="1"/>
  <c r="G143" i="1"/>
  <c r="I142" i="1"/>
  <c r="I141" i="1"/>
  <c r="I140" i="1"/>
  <c r="I139" i="1"/>
  <c r="I138" i="1"/>
  <c r="I137" i="1"/>
  <c r="I136" i="1"/>
  <c r="I135" i="1"/>
  <c r="I134" i="1"/>
  <c r="I133" i="1"/>
  <c r="H129" i="1"/>
  <c r="G129" i="1"/>
  <c r="B9" i="2"/>
  <c r="B8" i="2"/>
  <c r="B11" i="2"/>
  <c r="B10" i="2"/>
  <c r="K11" i="2"/>
  <c r="I143" i="1" l="1"/>
  <c r="K8" i="2"/>
  <c r="K10" i="2"/>
  <c r="E12" i="2"/>
  <c r="D12" i="2"/>
  <c r="I129" i="1"/>
  <c r="J12" i="2"/>
  <c r="I12" i="2"/>
  <c r="H12" i="2"/>
  <c r="G12" i="2"/>
  <c r="F12" i="2"/>
  <c r="K9" i="2"/>
  <c r="K7" i="2"/>
  <c r="B7" i="2"/>
  <c r="K6" i="2"/>
  <c r="B6" i="2"/>
  <c r="K5" i="2"/>
  <c r="B5" i="2"/>
  <c r="C12" i="2"/>
  <c r="B4" i="2"/>
  <c r="K3" i="2"/>
  <c r="B3" i="2"/>
  <c r="I128" i="1"/>
  <c r="I125" i="1"/>
  <c r="I124" i="1"/>
  <c r="I123" i="1"/>
  <c r="I122" i="1"/>
  <c r="I121" i="1"/>
  <c r="I120" i="1"/>
  <c r="I119" i="1"/>
  <c r="I118" i="1"/>
  <c r="H113" i="1"/>
  <c r="G113" i="1"/>
  <c r="I112" i="1"/>
  <c r="I111" i="1"/>
  <c r="I107" i="1"/>
  <c r="I106" i="1"/>
  <c r="I105" i="1"/>
  <c r="I104" i="1"/>
  <c r="I103" i="1"/>
  <c r="I102" i="1"/>
  <c r="I101" i="1"/>
  <c r="I100" i="1"/>
  <c r="G96" i="1"/>
  <c r="I95" i="1"/>
  <c r="H96" i="1"/>
  <c r="I92" i="1"/>
  <c r="I87" i="1"/>
  <c r="I86" i="1"/>
  <c r="I85" i="1"/>
  <c r="I84" i="1"/>
  <c r="I83" i="1"/>
  <c r="I82" i="1"/>
  <c r="H78" i="1"/>
  <c r="G78" i="1"/>
  <c r="I72" i="1"/>
  <c r="I71" i="1"/>
  <c r="I70" i="1"/>
  <c r="I69" i="1"/>
  <c r="I68" i="1"/>
  <c r="I67" i="1"/>
  <c r="I66" i="1"/>
  <c r="I65" i="1"/>
  <c r="I64" i="1"/>
  <c r="H60" i="1"/>
  <c r="G60" i="1"/>
  <c r="I59" i="1"/>
  <c r="I51" i="1"/>
  <c r="I50" i="1"/>
  <c r="I49" i="1"/>
  <c r="I48" i="1"/>
  <c r="I47" i="1"/>
  <c r="I46" i="1"/>
  <c r="I45" i="1"/>
  <c r="I44" i="1"/>
  <c r="I43" i="1"/>
  <c r="H39" i="1"/>
  <c r="G39" i="1"/>
  <c r="I32" i="1"/>
  <c r="I31" i="1"/>
  <c r="I30" i="1"/>
  <c r="I29" i="1"/>
  <c r="I28" i="1"/>
  <c r="I27" i="1"/>
  <c r="I26" i="1"/>
  <c r="I25" i="1"/>
  <c r="H21" i="1"/>
  <c r="G21" i="1"/>
  <c r="I20" i="1"/>
  <c r="I12" i="1"/>
  <c r="I11" i="1"/>
  <c r="I10" i="1"/>
  <c r="I9" i="1"/>
  <c r="I8" i="1"/>
  <c r="I7" i="1"/>
  <c r="I6" i="1"/>
  <c r="I5" i="1"/>
  <c r="I96" i="1" l="1"/>
  <c r="I21" i="1"/>
  <c r="K4" i="2"/>
  <c r="I39" i="1"/>
  <c r="I60" i="1"/>
  <c r="I78" i="1"/>
  <c r="I11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<sst xmlns="http://schemas.openxmlformats.org/spreadsheetml/2006/main" count="741" uniqueCount="322">
  <si>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</si>
  <si>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</si>
  <si>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</si>
  <si>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</si>
  <si>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</si>
  <si>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</si>
  <si>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</si>
  <si>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</si>
  <si>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</si>
  <si>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</si>
  <si>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</si>
  <si>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</si>
  <si>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</si>
  <si>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</si>
  <si>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</si>
  <si>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</si>
  <si>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</si>
  <si>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</si>
  <si>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</si>
  <si>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</si>
  <si>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</si>
  <si>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</si>
  <si>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</si>
  <si>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</si>
  <si>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</si>
  <si>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</si>
  <si>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</si>
  <si>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</si>
  <si>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</si>
  <si>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</si>
  <si>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</si>
  <si>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</si>
  <si>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</si>
  <si>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</si>
  <si>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</si>
  <si>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</si>
  <si>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</si>
  <si>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</si>
  <si>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</si>
  <si>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</si>
  <si>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</si>
  <si>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</si>
  <si>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</si>
  <si>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</si>
  <si>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</si>
  <si>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</si>
  <si>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</si>
  <si>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</si>
  <si>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</si>
  <si>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</si>
  <si>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</si>
  <si>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</si>
  <si>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</si>
  <si>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</si>
  <si>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</si>
  <si>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</si>
  <si>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</si>
  <si>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</si>
  <si>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</si>
  <si>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</si>
  <si>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</si>
  <si>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</si>
  <si>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</si>
  <si>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</si>
  <si>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</si>
  <si>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</si>
  <si>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</si>
  <si>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</si>
  <si>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</si>
  <si>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 xml:space="preserve">attending to Kick off of Block B </t>
  </si>
  <si>
    <t>Get familiar with what we have in Block B and we have to work harder</t>
  </si>
  <si>
    <t>Data lab content</t>
  </si>
  <si>
    <t>Loading data in Python and get some data from it.</t>
  </si>
  <si>
    <t xml:space="preserve">Learning log </t>
  </si>
  <si>
    <t>i</t>
  </si>
  <si>
    <t>Worklog</t>
  </si>
  <si>
    <t>SQL</t>
  </si>
  <si>
    <t>Installing SQL</t>
  </si>
  <si>
    <t>practicing on SQL with data lab data</t>
  </si>
  <si>
    <t>Hands on machine learning</t>
  </si>
  <si>
    <t>Machine leaning quiz</t>
  </si>
  <si>
    <t>postsql</t>
  </si>
  <si>
    <t>Youtube Machine learning</t>
  </si>
  <si>
    <t>Python</t>
  </si>
  <si>
    <t>Instaling libraries on Pycharm and importing data</t>
  </si>
  <si>
    <t xml:space="preserve">Mchine learning chapter 2 </t>
  </si>
  <si>
    <t>Youtube cource Machine learning</t>
  </si>
  <si>
    <t>Persian course on Youtube to undrestand better</t>
  </si>
  <si>
    <t>Quiz</t>
  </si>
  <si>
    <t>data lab content</t>
  </si>
  <si>
    <t>Math</t>
  </si>
  <si>
    <t>Math quiz</t>
  </si>
  <si>
    <t>Data camp</t>
  </si>
  <si>
    <t>Programing</t>
  </si>
  <si>
    <t>CreativeBrief Mohammadali Jaberi</t>
  </si>
  <si>
    <t>Certificate Data Camp</t>
  </si>
  <si>
    <t>Updating my learning log for the first two days</t>
  </si>
  <si>
    <t>Updating my Work log for the first two days</t>
  </si>
  <si>
    <t xml:space="preserve">Reading and Undrestanding from data lab content </t>
  </si>
  <si>
    <t>Installing SQL based on the video that it was on datalab and linkdin</t>
  </si>
  <si>
    <t xml:space="preserve">watching video to see how to run sql and how I can work with it </t>
  </si>
  <si>
    <t xml:space="preserve">reading  Hands on machine learning book first chapter </t>
  </si>
  <si>
    <t xml:space="preserve">First quiz of machine learning chapter 1 completed </t>
  </si>
  <si>
    <t>importing diabets data from my computer to d beaver and practicing on dbeaver</t>
  </si>
  <si>
    <t xml:space="preserve">importing my code to Jupyter notebook for the first week </t>
  </si>
  <si>
    <t>CreativeBrief</t>
  </si>
  <si>
    <t>Practicing Python  on coding bat</t>
  </si>
  <si>
    <t>Updating my worklog for the whole week</t>
  </si>
  <si>
    <t>Machine learning course in Persian</t>
  </si>
  <si>
    <t xml:space="preserve">CreativeBrief first week </t>
  </si>
  <si>
    <t>Machine learning first chapter quiz</t>
  </si>
  <si>
    <t>Practicing SQL</t>
  </si>
  <si>
    <t>Updating my work log and learning log</t>
  </si>
  <si>
    <t>Installing some libraries on Python VS code</t>
  </si>
  <si>
    <t>Lecture of first day</t>
  </si>
  <si>
    <t>Machine learning quiz</t>
  </si>
  <si>
    <t>I have completed  second quiz of Machine learning about chapter 2</t>
  </si>
  <si>
    <t>Practice Python Programing based on Hands on Machine learning book</t>
  </si>
  <si>
    <t>Updating my worklog and learning log</t>
  </si>
  <si>
    <t xml:space="preserve">Learning log / Work log </t>
  </si>
  <si>
    <t>I successfully completed it, though I initially struggled to remember how to load it in Python, but everything went smoothly afterward.</t>
  </si>
  <si>
    <t>I was confused about how to write our goals in a SMART way, which led me to ask my mentor many questions and took more time than I expected.</t>
  </si>
  <si>
    <t>At first, I tried to download and install it on PyCharm and VS Code but wasn’t successful, so I decided to try using DBeaver instead.</t>
  </si>
  <si>
    <t>I wasn’t entirely confident about some of the answers I had provided, so I felt the need to carefully review and double-check them to ensure their accuracy before moving forward.</t>
  </si>
  <si>
    <t>I didn’t know how to work with it initially, so I sought help from ChatGPT, which provided valuable guidance, and I took the time to thoroughly understand how it works before proceeding</t>
  </si>
  <si>
    <t>I worked on importing my SQL code into CreativeBrief, ensuring everything was properly formatted and compatible with the platform.</t>
  </si>
  <si>
    <t>To gain a better understanding and feel more comfortable with the process, I took the time to thoroughly explore the details and clarify any uncertainties."</t>
  </si>
  <si>
    <t>I imported data into VS Code using Python tools and created visualizations by utilizing Python libraries such as Pandas and NumPy to analyze and present the data effectively.</t>
  </si>
  <si>
    <t>I studied math and watched Khan Academy videos on vectors and matrices to gain a better understanding of these concepts</t>
  </si>
  <si>
    <t>I have been practicing coding on the CodingBat website to improve my skills and prepare for the upcoming retake exam</t>
  </si>
  <si>
    <t>I took detailed notes from the videos and the questions, which is why it took me more hours to complete.</t>
  </si>
  <si>
    <t>I’ve been practicing on CodingBat and preparing myself for the Python retake exams to ensure I’m well-prepared and confident.</t>
  </si>
  <si>
    <t>I’ve been practicing how to import data, create bar charts, and perform various tasks based on the skills I’ve learned in the DataCamp course.</t>
  </si>
  <si>
    <t>Watching  video in persian about machine learning to learn it better</t>
  </si>
  <si>
    <t>Reading chapter 2 of Hands on machine learning book</t>
  </si>
  <si>
    <t>Practicing on coding bat</t>
  </si>
  <si>
    <t>I updated my work log and learning log based on my mentor's feedback from last Friday. This took an extra two hours as I revised the first week's content, corrected grammar and spelling, and added more detailed information to align better with the feedback. These updates ensure my logs are clearer, more accurate, and aligned with my SMART goals.</t>
  </si>
  <si>
    <t>Coursera</t>
  </si>
  <si>
    <t>I watched coursera course about machine learning for the regression part .</t>
  </si>
  <si>
    <t>I have completed watching a machine learning course on Coursera</t>
  </si>
  <si>
    <t>I completed a Jupyter Notebook project analyzing 911 calls</t>
  </si>
  <si>
    <t>I practiced Python programming on CodingBat.</t>
  </si>
  <si>
    <t>I learned how to import CSV files in VS Code and clean data.</t>
  </si>
  <si>
    <t>I completed a math vector quiz</t>
  </si>
  <si>
    <t>I went through the Data Lab content and watched Khan Academy videos</t>
  </si>
  <si>
    <t xml:space="preserve">Mchine learning chapter 3 </t>
  </si>
  <si>
    <t>Reading chapter 3 of Hands on machine learning book</t>
  </si>
  <si>
    <t>Mchine learning chapter 4</t>
  </si>
  <si>
    <t>Reading chapter 4 of Hands on machine learning book</t>
  </si>
  <si>
    <t>I completed machine learning quiz for chapter 3</t>
  </si>
  <si>
    <t>I have completed machine learning quiz chapter 4</t>
  </si>
  <si>
    <t>Coursera Machine learning</t>
  </si>
  <si>
    <t>I watched coursera course about machine learning to undrestand better</t>
  </si>
  <si>
    <t xml:space="preserve">Doing Jupyter notebook </t>
  </si>
  <si>
    <t>I have completed Jupyter Notebook task 3,1</t>
  </si>
  <si>
    <t>I have studied math context about Matrics in data camp</t>
  </si>
  <si>
    <t>Math Matrics</t>
  </si>
  <si>
    <t xml:space="preserve">I couldn't finish math quiz matrics </t>
  </si>
  <si>
    <t>There was some context that I couldn't undrestand it very well</t>
  </si>
  <si>
    <t>Mchine learning Logistic regression</t>
  </si>
  <si>
    <t>I have studied Machine learning logistic chapter 4</t>
  </si>
  <si>
    <t>Mchine learning quiz</t>
  </si>
  <si>
    <t xml:space="preserve">Jupyter notebook Machine learning </t>
  </si>
  <si>
    <t>I have completed machine learning jupyter task 3,1,5 till 3,1,8</t>
  </si>
  <si>
    <t xml:space="preserve">I attended to lecture about linear regresiion </t>
  </si>
  <si>
    <t xml:space="preserve">Machine learning regression </t>
  </si>
  <si>
    <t xml:space="preserve">I reviewed regression part of machine learning after lecture </t>
  </si>
  <si>
    <t>Startup Idea</t>
  </si>
  <si>
    <t xml:space="preserve">A briliant idea across my head I was searching about my idea to see is doable or not </t>
  </si>
  <si>
    <t xml:space="preserve">Machine learning coursera </t>
  </si>
  <si>
    <t>Coursera course about machine learning regression model</t>
  </si>
  <si>
    <t>Working on my idea</t>
  </si>
  <si>
    <t>ML-QUIZ-W3-1</t>
  </si>
  <si>
    <t>ML-QUIZ-W3-2</t>
  </si>
  <si>
    <t>Creative Brief Template</t>
  </si>
  <si>
    <t>Matrics</t>
  </si>
  <si>
    <t>Mchine Learning Quiz Chapter 4</t>
  </si>
  <si>
    <t xml:space="preserve">Jupyter Notebook </t>
  </si>
  <si>
    <t>STARTUP IDEA</t>
  </si>
  <si>
    <t>Coursera Course about Machine learning</t>
  </si>
  <si>
    <t xml:space="preserve">Machine learning chapter </t>
  </si>
  <si>
    <t>Reading book chapter 6</t>
  </si>
  <si>
    <t>Reading data lab content for chapter 6</t>
  </si>
  <si>
    <t>Machine Learning quiz</t>
  </si>
  <si>
    <t>I have completed Jupyter Notebook task 3,2</t>
  </si>
  <si>
    <t>Math Calculus</t>
  </si>
  <si>
    <t>Reading data lab content ( Calculus for Machine learning)</t>
  </si>
  <si>
    <t>Calculus (Math)</t>
  </si>
  <si>
    <t>I have completed Math quiz calculus part</t>
  </si>
  <si>
    <t>Reading book chapter 7 (Random Forest)</t>
  </si>
  <si>
    <t>Data lab content of Random forest to review and undrestand better</t>
  </si>
  <si>
    <t>I completed ML quiz test</t>
  </si>
  <si>
    <t>I completed CreativeBrief task 3,2</t>
  </si>
  <si>
    <t>Machine learning coursea</t>
  </si>
  <si>
    <t>Coursera course task</t>
  </si>
  <si>
    <t>Reviewing book</t>
  </si>
  <si>
    <t>Reviewing Hands on machine learning book Decesion Tree</t>
  </si>
  <si>
    <t>Playing with my data to get better results</t>
  </si>
  <si>
    <t xml:space="preserve">Reading book chapter 8 Dimensionality reduction </t>
  </si>
  <si>
    <t>Data lab content for Machine learning</t>
  </si>
  <si>
    <t>I have completed Machin learning quiz chapter 8</t>
  </si>
  <si>
    <t>I have completed CreativeBrief 3,3</t>
  </si>
  <si>
    <t>Math ML</t>
  </si>
  <si>
    <t xml:space="preserve">I have completed Multivariable calculus </t>
  </si>
  <si>
    <t>MultivariableCalculus</t>
  </si>
  <si>
    <t xml:space="preserve">I have completed math quiz Multivariable calculus </t>
  </si>
  <si>
    <t>Mathematics for Machine Learning</t>
  </si>
  <si>
    <t>Python for Symbolic Mathematics</t>
  </si>
  <si>
    <t>Reading book chapter 9 (Unsupervised learning )</t>
  </si>
  <si>
    <t>Unsupervised learning</t>
  </si>
  <si>
    <t>Data lab content of Machine learning</t>
  </si>
  <si>
    <t>I have completed machine learning quiz chapter 9</t>
  </si>
  <si>
    <t>Coursera course machine learning</t>
  </si>
  <si>
    <t>I have completed coursera Machine learning course for Random forest  part</t>
  </si>
  <si>
    <t>Reviewing book Random forest part</t>
  </si>
  <si>
    <t>It was a bit hard for me to understand the decision tree part of ML.</t>
  </si>
  <si>
    <t>I answered the quiz with the help of ChatGPT and tried to review the decision tree part.</t>
  </si>
  <si>
    <t>I tried to complete the tasks with the help of the book to continue answering the questions.</t>
  </si>
  <si>
    <t>The math of ML is getting harder for me, and I hope to practice more during weeks 9 and 10.</t>
  </si>
  <si>
    <t>It was hard, so I tried to get help from ChatGPT for some questions.</t>
  </si>
  <si>
    <t>It was a continuation of the decision tree part, so it was a bit unclear for me.</t>
  </si>
  <si>
    <t>It helped me better understand the book content on Random Forest.</t>
  </si>
  <si>
    <t>I tried answering some questions using the book's content and others with ChatGPT while trying to understand them.</t>
  </si>
  <si>
    <t>I really enjoy coding, which is why it takes me longer than usual. I always change everything to see how it affects the final result.</t>
  </si>
  <si>
    <t>There was a task in the Coursera course for practicing decision trees, and it helped me better understand this part.</t>
  </si>
  <si>
    <t>Machine learning quiz 1</t>
  </si>
  <si>
    <t>Machine Learning quiz 2</t>
  </si>
  <si>
    <t>Creativebrief</t>
  </si>
  <si>
    <t>Machine learning quiz 2</t>
  </si>
  <si>
    <t xml:space="preserve">ILO 6 </t>
  </si>
  <si>
    <t>ILO 8.1</t>
  </si>
  <si>
    <r>
      <rPr>
        <sz val="9"/>
        <color rgb="FF000000"/>
        <rFont val="Calibri Light"/>
        <family val="2"/>
        <scheme val="major"/>
      </rPr>
      <t xml:space="preserve">                 </t>
    </r>
    <r>
      <rPr>
        <sz val="9"/>
        <color rgb="FF000000"/>
        <rFont val="Calibri"/>
        <family val="2"/>
        <scheme val="minor"/>
      </rPr>
      <t xml:space="preserve">ILO 8 </t>
    </r>
  </si>
  <si>
    <t xml:space="preserve">ILO 8 </t>
  </si>
  <si>
    <t xml:space="preserve">ILO 8.2 </t>
  </si>
  <si>
    <t>ILO 8.2</t>
  </si>
  <si>
    <t xml:space="preserve">ILO 8.1 </t>
  </si>
  <si>
    <t>Studied Datalab content for feature Engineering</t>
  </si>
  <si>
    <t>Feature Engineering</t>
  </si>
  <si>
    <t>Starting again with my creativebrif to get better scores</t>
  </si>
  <si>
    <t>Data lab contents</t>
  </si>
  <si>
    <t>Assignment 1</t>
  </si>
  <si>
    <t>Assignment 2</t>
  </si>
  <si>
    <t xml:space="preserve"> ILO 8.2</t>
  </si>
  <si>
    <t>Cross Validation Machine Learning</t>
  </si>
  <si>
    <t>Cross Validation</t>
  </si>
  <si>
    <t>I have studied this part in book and I also used this before in some tasks in Creative Brief</t>
  </si>
  <si>
    <t>Data lab content( Linear Regression)</t>
  </si>
  <si>
    <t>Linear Regression</t>
  </si>
  <si>
    <t>Assignment</t>
  </si>
  <si>
    <t xml:space="preserve">Linear Regression Assignment </t>
  </si>
  <si>
    <t xml:space="preserve">Coursera Course </t>
  </si>
  <si>
    <t>Coursera task</t>
  </si>
  <si>
    <t>Coursera task about linear regression</t>
  </si>
  <si>
    <t>I couldn't focus on reading the book, which is why it took me longer.</t>
  </si>
  <si>
    <t>The content from the Data Lab provided valuable insights that greatly enhanced my understanding of the material covered in the book.</t>
  </si>
  <si>
    <t>"I attempted to answer the questions by utilizing both the book and ChatGPT for guidance and support."</t>
  </si>
  <si>
    <t>"I was experimenting with my data by adjusting the number of components and other parameters to observe how the scores varied."</t>
  </si>
  <si>
    <t>"The process felt overwhelming and extremely challenging."</t>
  </si>
  <si>
    <t>"This part was new to me, as all the previous sections primarily focused on supervised learning."</t>
  </si>
  <si>
    <t>"It took me longer because I struggled to focus and kept modifying my features to observe the variations in scores."</t>
  </si>
  <si>
    <t>"I am reviewing this chapter again because I encountered problems while coding the creative brief."</t>
  </si>
  <si>
    <t>"Fortunately, I had previously completed some parts of the engineering tasks."</t>
  </si>
  <si>
    <t>"Fortunately, the course I started on Coursera covered this chapter thoroughly, so it wasn't too difficult for me."</t>
  </si>
  <si>
    <t>"I really enjoyed understanding it and working on it as an exercise; it was very beneficial for me."</t>
  </si>
  <si>
    <t>"It's getting harder, but I'm trying to understand as much as I can."</t>
  </si>
  <si>
    <t xml:space="preserve"> "Help me better understand the math behind machine learning."</t>
  </si>
  <si>
    <t>"I was searching for my competitors to identify what I can do to differentiate myself from others."</t>
  </si>
  <si>
    <t>"I am completing Section C of my learning log to ensure all the required tasks and reflections are thoroughly addressed."</t>
  </si>
  <si>
    <t>Template for assignment 1</t>
  </si>
  <si>
    <t>Implement Gradient Descent Algorithm for House Price Prediction</t>
  </si>
  <si>
    <t>Learning log</t>
  </si>
  <si>
    <t>I have completed coursera Machine learning course for classification</t>
  </si>
  <si>
    <t>Machine Learning</t>
  </si>
  <si>
    <t>Studying the Data Lab content has helped me refine my machine learning models.</t>
  </si>
  <si>
    <t>ILO8.1</t>
  </si>
  <si>
    <t>Fine Tuning</t>
  </si>
  <si>
    <t>Studying the Data Lab content has helped me refine my machine learning models through effective hyperparameter tuning and optimization strategies, leading to improved performance.</t>
  </si>
  <si>
    <t>I applied hyperparameter tuning to my machine learning models to optimize their performance and achieve better results.</t>
  </si>
  <si>
    <t>ILO8.2</t>
  </si>
  <si>
    <t xml:space="preserve">Analyse Errors in model </t>
  </si>
  <si>
    <t>I studied the Data Lab content on error analysis to better understand and address issues in my machine learning models</t>
  </si>
  <si>
    <t>Analysing Error of Models</t>
  </si>
  <si>
    <t xml:space="preserve">Data camp course </t>
  </si>
  <si>
    <t>Datacamp course for Hyperparameter Tuning</t>
  </si>
  <si>
    <t>Attending to Data camp course for Hyperparameter Tuning</t>
  </si>
  <si>
    <t>Creative brief</t>
  </si>
  <si>
    <t xml:space="preserve">Math </t>
  </si>
  <si>
    <t>Logistic regression</t>
  </si>
  <si>
    <t>Logistic Regression from Scratch</t>
  </si>
  <si>
    <t>Math Assignment</t>
  </si>
  <si>
    <t>Math assignment for logistic</t>
  </si>
  <si>
    <t xml:space="preserve"> Updating section c  </t>
  </si>
  <si>
    <t xml:space="preserve">for week 7 </t>
  </si>
  <si>
    <t>Updating section C of my learning log</t>
  </si>
  <si>
    <t>Coursera course</t>
  </si>
  <si>
    <t xml:space="preserve">Studyiing coursera course fpr machine learning </t>
  </si>
  <si>
    <t>Coursera assignement</t>
  </si>
  <si>
    <t>Attending to coursera course assignment</t>
  </si>
  <si>
    <t>Assignment coursera</t>
  </si>
  <si>
    <t>Math assignment</t>
  </si>
  <si>
    <t>Learninglog</t>
  </si>
  <si>
    <t>Assignment math</t>
  </si>
  <si>
    <t>learning log</t>
  </si>
  <si>
    <t>Finalising Project</t>
  </si>
  <si>
    <t>Data lab content about choosing the bes model</t>
  </si>
  <si>
    <t>Run all the codes and prepare it for upload it</t>
  </si>
  <si>
    <t xml:space="preserve">Model selection </t>
  </si>
  <si>
    <t>Chooosing the best models among different model that I run.</t>
  </si>
  <si>
    <t>Model evaluation</t>
  </si>
  <si>
    <t>Doing the check list and compare data lab content with what I have done.</t>
  </si>
  <si>
    <t xml:space="preserve">Updating my work log </t>
  </si>
  <si>
    <t>Updating my worklog and evidencing everything and check everyweek.</t>
  </si>
  <si>
    <t xml:space="preserve">Updating my learning log  </t>
  </si>
  <si>
    <t>Updating my learning log for week 8 and also doing the section C of my learning log.</t>
  </si>
  <si>
    <t>Report</t>
  </si>
  <si>
    <t>Writing report for my creativebrief</t>
  </si>
  <si>
    <t>Writing my report and explain everything based on my creative brief and my code.</t>
  </si>
  <si>
    <t>Presentation</t>
  </si>
  <si>
    <t>Preparing many slides for presentation and review my presentation to get a goood grade.</t>
  </si>
  <si>
    <t>Presentation for Friday about best model and what I have done.</t>
  </si>
  <si>
    <t>Final report</t>
  </si>
  <si>
    <t>ILO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</si>
</sst>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7"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9"/>
      <color rgb="FF000000"/>
      <name val="Arial"/>
      <family val="2"/>
    </font>
    <font>
      <sz val="9"/>
      <color rgb="FF000000"/>
      <name val="Calibri Light"/>
      <family val="2"/>
      <scheme val="major"/>
    </font>
    <font>
      <sz val="9"/>
      <color rgb="FF000000"/>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2">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13" fillId="0" borderId="7" xfId="1" applyBorder="1" applyAlignment="1">
      <alignment vertical="top"/>
    </xf>
    <xf numFmtId="0" fontId="13" fillId="0" borderId="0" xfId="1"/>
    <xf numFmtId="0" fontId="14" fillId="0" borderId="0" xfId="0" applyFont="1"/>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redaUniversityADSAI/2024-25b-fai1-adsai-MohammadaliJaberi244437/blob/main/Week%203%20Monday/Quizzes%20-%20Project%201B%202024-2025%20-%20Breda%20University%20of%20Applied%20Sciences%20Monday%20quiz%20week%203%20classification.pdf" TargetMode="External"/><Relationship Id="rId18" Type="http://schemas.openxmlformats.org/officeDocument/2006/relationships/hyperlink" Target="https://github.com/BredaUniversityADSAI/2024-25b-fai1-adsai-MohammadaliJaberi244437/blob/main/Week%203%20Thursday/Quizzes%20-%20Project%201B%202024-2025%20-%20Breda%20University%20of%20Applied%20Sciences%20(week%203%20Thursday).pdf" TargetMode="External"/><Relationship Id="rId26" Type="http://schemas.openxmlformats.org/officeDocument/2006/relationships/hyperlink" Target="https://adsai.buas.nl/Study%20Content/Math_ML/5.SymbolicMathematics.html" TargetMode="External"/><Relationship Id="rId39" Type="http://schemas.openxmlformats.org/officeDocument/2006/relationships/hyperlink" Target="https://adsai.buas.nl/Study%20Content/Introduction%20to%20Machine%20Learning/%5bWk6_1%5dFeatureEngineering.html" TargetMode="External"/><Relationship Id="rId21" Type="http://schemas.openxmlformats.org/officeDocument/2006/relationships/hyperlink" Target="https://github.com/BredaUniversityADSAI/2024-25b-fai1-adsai-MohammadaliJaberi244437/blob/main/Week%203%20Saturday/Saturday%20evidencing%20coursera.png" TargetMode="External"/><Relationship Id="rId34" Type="http://schemas.openxmlformats.org/officeDocument/2006/relationships/hyperlink" Target="https://github.com/BredaUniversityADSAI/2024-25b-fai1-adsai-MohammadaliJaberi244437/blob/main/week%204/BlockY1B_CreativeBrief%20(Mohammadali%20Jaberi%20244437%20final).ipynb" TargetMode="External"/><Relationship Id="rId42" Type="http://schemas.openxmlformats.org/officeDocument/2006/relationships/hyperlink" Target="https://adsai.buas.nl/Study%20Content/Math_ML/7.LinearRegress.html" TargetMode="External"/><Relationship Id="rId47" Type="http://schemas.openxmlformats.org/officeDocument/2006/relationships/hyperlink" Target="https://adsai.buas.nl/Study%20Content/Introduction%20to%20Machine%20Learning/%5BWk7_1%5DFineTuning.html" TargetMode="External"/><Relationship Id="rId50" Type="http://schemas.openxmlformats.org/officeDocument/2006/relationships/hyperlink" Target="https://github.com/BredaUniversityADSAI/2024-25b-fai1-adsai-MohammadaliJaberi244437/blob/main/coursera/week%206%20coursera.png" TargetMode="External"/><Relationship Id="rId55" Type="http://schemas.openxmlformats.org/officeDocument/2006/relationships/hyperlink" Target="https://github.com/BredaUniversityADSAI/2024-25b-fai1-adsai-MohammadaliJaberi244437/blob/main/LogisticRegression_temp(%20MOHAMMADALI%20JABERI%20)final.ipynb" TargetMode="External"/><Relationship Id="rId63" Type="http://schemas.openxmlformats.org/officeDocument/2006/relationships/printerSettings" Target="../printerSettings/printerSettings1.bin"/><Relationship Id="rId7" Type="http://schemas.openxmlformats.org/officeDocument/2006/relationships/hyperlink" Target="https://github.com/BredaUniversityADSAI/2024-25b-fai1-adsai-MohammadaliJaberi244437/blob/main/Week%202%20Thursday/certificate(Statement%20of%20Accomplishment).pdf" TargetMode="External"/><Relationship Id="rId2" Type="http://schemas.openxmlformats.org/officeDocument/2006/relationships/hyperlink" Target="https://github.com/BredaUniversityADSAI/2024-25b-fai1-adsai-MohammadaliJaberi244437/blob/main/Wednesday%20week%201/wednsday%20evidence%20.png" TargetMode="External"/><Relationship Id="rId16" Type="http://schemas.openxmlformats.org/officeDocument/2006/relationships/hyperlink" Target="https://github.com/BredaUniversityADSAI/2024-25b-fai1-adsai-MohammadaliJaberi244437/blob/main/Week%203%20Tuesday/BlockY1B_CreativeBrief%20(Mohammadali%20Jaberi%20244437%20third%20week)%20(1).ipynb" TargetMode="External"/><Relationship Id="rId29" Type="http://schemas.openxmlformats.org/officeDocument/2006/relationships/hyperlink" Target="https://github.com/BredaUniversityADSAI/2024-25b-fai1-adsai-MohammadaliJaberi244437/blob/main/week%204/Machine%20learning/ML%20quiz%20week%204%20(1).pdf" TargetMode="External"/><Relationship Id="rId11" Type="http://schemas.openxmlformats.org/officeDocument/2006/relationships/hyperlink" Target="https://github.com/BredaUniversityADSAI/2024-25b-fai1-adsai-MohammadaliJaberi244437/blob/main/week%202%20Monday/Quizzes%20-%20Project%201B%202024-2025%20-%20Breda%20University%20of%20Applied%20Sciences%20week%202.pdf" TargetMode="External"/><Relationship Id="rId24" Type="http://schemas.openxmlformats.org/officeDocument/2006/relationships/hyperlink" Target="https://adsai.buas.nl/Study%20Content/Math_ML/3.CalculusMachineLearning.html" TargetMode="External"/><Relationship Id="rId32" Type="http://schemas.openxmlformats.org/officeDocument/2006/relationships/hyperlink" Target="https://github.com/BredaUniversityADSAI/2024-25b-fai1-adsai-MohammadaliJaberi244437/blob/main/week%204/BlockY1B_CreativeBrief%20(Mohammadali%20Jaberi%20244437%20final).ipynb" TargetMode="External"/><Relationship Id="rId37" Type="http://schemas.openxmlformats.org/officeDocument/2006/relationships/hyperlink" Target="https://github.com/BredaUniversityADSAI/2024-25b-fai1-adsai-MohammadaliJaberi244437/blob/main/Week%205/ML/Quizzes%20-%20Project%201B%202024-2025%20-%20Breda%20University%20of%20Applied%20Sciences(ML%20quiz%202%20week%205).pdf" TargetMode="External"/><Relationship Id="rId40" Type="http://schemas.openxmlformats.org/officeDocument/2006/relationships/hyperlink" Target="https://adsai.buas.nl/Study%20Content/Math_ML/6.OptimizationAlgorithms.html" TargetMode="External"/><Relationship Id="rId45" Type="http://schemas.openxmlformats.org/officeDocument/2006/relationships/hyperlink" Target="https://github.com/BredaUniversityADSAI/2024-25b-fai1-adsai-MohammadaliJaberi244437/blob/main/Week%206/Learning%20and%20worklog/Learning%20Log%20-%20Y1B-2024-25_ADSAI(%20Mohammadali%20Jaberi%20).pptx" TargetMode="External"/><Relationship Id="rId53" Type="http://schemas.openxmlformats.org/officeDocument/2006/relationships/hyperlink" Target="https://github.com/BredaUniversityADSAI/2024-25b-fai1-adsai-MohammadaliJaberi244437/blob/main/coursera/week%205%20coursera.png" TargetMode="External"/><Relationship Id="rId58"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5" Type="http://schemas.openxmlformats.org/officeDocument/2006/relationships/hyperlink" Target="https://github.com/BredaUniversityADSAI/2024-25b-fai1-adsai-MohammadaliJaberi244437/blob/main/Week%202%20Wednesday/Quizzes%20-%20Project%201B%202024-2025%20-%20Breda%20University%20of%20Applied%20Sciences%20first%20math%20quiz.pdf" TargetMode="External"/><Relationship Id="rId61" Type="http://schemas.openxmlformats.org/officeDocument/2006/relationships/hyperlink" Target="https://github.com/BredaUniversityADSAI/2024-25b-fai1-adsai-MohammadaliJaberi244437/blob/main/BlockY1B_CreativeBrief%20(Mohammadali%20Jaberi%20244437%20final%2013%20).ipynb" TargetMode="External"/><Relationship Id="rId19" Type="http://schemas.openxmlformats.org/officeDocument/2006/relationships/hyperlink" Target="https://github.com/BredaUniversityADSAI/2024-25b-fai1-adsai-MohammadaliJaberi244437/blob/main/Week%203%20Thursday/BlockY1B_CreativeBrief%20(Mohammadali%20Jaberi%20244437%20third%20week)%20(1).ipynb" TargetMode="External"/><Relationship Id="rId14" Type="http://schemas.openxmlformats.org/officeDocument/2006/relationships/hyperlink" Target="https://github.com/BredaUniversityADSAI/2024-25b-fai1-adsai-MohammadaliJaberi244437/blob/main/Week%203%20Monday/Quizzes%20-%20Project%201B%202024-2025%20-%20Breda%20University%20of%20Applied%20Sciences%20machine%20learning%20quiz%20week%203.pdf" TargetMode="External"/><Relationship Id="rId22" Type="http://schemas.openxmlformats.org/officeDocument/2006/relationships/hyperlink" Target="https://adsai.buas.nl/Study%20Content/Introduction%20to%20Machine%20Learning/%5BCh4.2%5DTrainingModels(LogisticRegression).html" TargetMode="External"/><Relationship Id="rId27" Type="http://schemas.openxmlformats.org/officeDocument/2006/relationships/hyperlink" Target="https://adsai.buas.nl/Study%20Content/Introduction%20to%20Machine%20Learning/%5bCh9%5dUnsupervisedLearningTech.html" TargetMode="External"/><Relationship Id="rId30" Type="http://schemas.openxmlformats.org/officeDocument/2006/relationships/hyperlink" Target="https://github.com/BredaUniversityADSAI/2024-25b-fai1-adsai-MohammadaliJaberi244437/blob/main/week%204/Machine%20learning/ML%20quiz%20week%204%20(2).pdf" TargetMode="External"/><Relationship Id="rId35" Type="http://schemas.openxmlformats.org/officeDocument/2006/relationships/hyperlink" Target="https://github.com/BredaUniversityADSAI/2024-25b-fai1-adsai-MohammadaliJaberi244437/blob/main/week%204/BlockY1B_CreativeBrief%20(Mohammadali%20Jaberi%20244437%20final).ipynb" TargetMode="External"/><Relationship Id="rId43" Type="http://schemas.openxmlformats.org/officeDocument/2006/relationships/hyperlink" Target="https://github.com/BredaUniversityADSAI/2024-25b-fai1-adsai-MohammadaliJaberi244437/blob/main/Week%206/Math/AlgebraicExample_temp%20(MohammadAli%20Jaberi)%20Week%206%20Wednesday.ipynb" TargetMode="External"/><Relationship Id="rId48" Type="http://schemas.openxmlformats.org/officeDocument/2006/relationships/hyperlink" Target="https://adsai.buas.nl/Study%20Content/Introduction%20to%20Machine%20Learning/%5bWk7_III%5dModelErrors.html" TargetMode="External"/><Relationship Id="rId56" Type="http://schemas.openxmlformats.org/officeDocument/2006/relationships/hyperlink" Target="https://github.com/BredaUniversityADSAI/2024-25b-fai1-adsai-MohammadaliJaberi244437/blob/main/Week%206/Learning%20and%20worklog/Worklog%20-%20Y1B-2024-25_ADSAI%20jaberi.xlsx" TargetMode="External"/><Relationship Id="rId8" Type="http://schemas.openxmlformats.org/officeDocument/2006/relationships/hyperlink" Target="https://github.com/BredaUniversityADSAI/2024-25b-fai1-adsai-MohammadaliJaberi244437/blob/main/Friday%20week%201/BlockY1B_CreativeBrief%20(Mohammadali%20Jaberi%20244437%20first%20week).ipynb" TargetMode="External"/><Relationship Id="rId51" Type="http://schemas.openxmlformats.org/officeDocument/2006/relationships/hyperlink" Target="https://github.com/BredaUniversityADSAI/2024-25b-fai1-adsai-MohammadaliJaberi244437/blob/main/coursera/Assignment%20courseera.png" TargetMode="External"/><Relationship Id="rId3" Type="http://schemas.openxmlformats.org/officeDocument/2006/relationships/hyperlink" Target="https://github.com/BredaUniversityADSAI/2024-25b-fai1-adsai-MohammadaliJaberi244437/blob/main/Thursday%20week%201/Quizzes%20-%20Project%201B%202024-2025%20-%20Breda%20University%20of%20Applied%20Sciences%20first%20thursday.pdf" TargetMode="External"/><Relationship Id="rId12" Type="http://schemas.openxmlformats.org/officeDocument/2006/relationships/hyperlink" Target="https://github.com/BredaUniversityADSAI/2024-25b-fai1-adsai-MohammadaliJaberi244437/blob/main/Evidence%20of%20coding%20bat/evidence%20of%20coding%20bat.png" TargetMode="External"/><Relationship Id="rId17" Type="http://schemas.openxmlformats.org/officeDocument/2006/relationships/hyperlink" Target="https://adsai.buas.nl/Study%20Content/Math_ML/2-2.Matrices-2.html" TargetMode="External"/><Relationship Id="rId25" Type="http://schemas.openxmlformats.org/officeDocument/2006/relationships/hyperlink" Target="https://adsai.buas.nl/Study%20Content/Math_ML/4.MultivariableCalculus.html" TargetMode="External"/><Relationship Id="rId33" Type="http://schemas.openxmlformats.org/officeDocument/2006/relationships/hyperlink" Target="https://github.com/BredaUniversityADSAI/2024-25b-fai1-adsai-MohammadaliJaberi244437/blob/main/week%204/BlockY1B_CreativeBrief%20(Mohammadali%20Jaberi%20244437%20final).ipynb" TargetMode="External"/><Relationship Id="rId38" Type="http://schemas.openxmlformats.org/officeDocument/2006/relationships/hyperlink" Target="https://github.com/BredaUniversityADSAI/2024-25b-fai1-adsai-MohammadaliJaberi244437/blob/main/Week%205/Math/Quizzes%20-%20Project%201B%202024-2025%20-%20Breda%20University%20of%20Applied%20Sciences(Math%20quiz%20week%205%20Wednesday).pdf" TargetMode="External"/><Relationship Id="rId46"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59"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20" Type="http://schemas.openxmlformats.org/officeDocument/2006/relationships/hyperlink" Target="https://github.com/BredaUniversityADSAI/2024-25b-fai1-adsai-MohammadaliJaberi244437/blob/main/Startup%20Idea/Idea%20of%20startup.pdf" TargetMode="External"/><Relationship Id="rId41" Type="http://schemas.openxmlformats.org/officeDocument/2006/relationships/hyperlink" Target="https://adsai.buas.nl/Study%20Content/Introduction%20to%20Machine%20Learning/%5bWk6_IV%5dEvaluateCrossvalidation.html" TargetMode="External"/><Relationship Id="rId54" Type="http://schemas.openxmlformats.org/officeDocument/2006/relationships/hyperlink" Target="https://github.com/BredaUniversityADSAI/2024-25b-fai1-adsai-MohammadaliJaberi244437/blob/main/Week%206/Learning%20and%20worklog/Worklog%20-%20Y1B-2024-25_ADSAI%20jaberi.xlsx" TargetMode="External"/><Relationship Id="rId62" Type="http://schemas.openxmlformats.org/officeDocument/2006/relationships/hyperlink" Target="https://github.com/BredaUniversityADSAI/2024-25b-fai1-adsai-MohammadaliJaberi244437/blob/main/FinalReport_Mohammadali%20Jaberi_244437.PDF%20.pdf" TargetMode="External"/><Relationship Id="rId1" Type="http://schemas.openxmlformats.org/officeDocument/2006/relationships/hyperlink" Target="https://github.com/BredaUniversityADSAI/2024-25b-fai1-adsai-MohammadaliJaberi244437/blob/main/Kick%20off%20lecture.jpg" TargetMode="External"/><Relationship Id="rId6" Type="http://schemas.openxmlformats.org/officeDocument/2006/relationships/hyperlink" Target="https://github.com/BredaUniversityADSAI/2024-25b-fai1-adsai-MohammadaliJaberi244437/blob/main/Week%202%20Tuesday/BlockY1B_CreativeBrief%20(Mohammadali%20Jaberi%20244437%20second%20week).ipynb" TargetMode="External"/><Relationship Id="rId15" Type="http://schemas.openxmlformats.org/officeDocument/2006/relationships/hyperlink" Target="https://github.com/BredaUniversityADSAI/2024-25b-fai1-adsai-MohammadaliJaberi244437/blob/main/Week%203%20Tuesday/Tuesday%20coursera.png" TargetMode="External"/><Relationship Id="rId23" Type="http://schemas.openxmlformats.org/officeDocument/2006/relationships/hyperlink" Target="https://adsai.buas.nl/Study%20Content/Introduction%20to%20Machine%20Learning/%5BCh6%5DDecisionTrees.html" TargetMode="External"/><Relationship Id="rId28" Type="http://schemas.openxmlformats.org/officeDocument/2006/relationships/hyperlink" Target="https://github.com/BredaUniversityADSAI/2024-25b-fai1-adsai-MohammadaliJaberi244437/blob/main/week%204/Math/Quizzes%20-%20Project%201B%202024-2025%20-%20Breda%20University%20of%20Applied%20Sciences(Math%20quiz%20week%204%20Wednesday).pdf" TargetMode="External"/><Relationship Id="rId36" Type="http://schemas.openxmlformats.org/officeDocument/2006/relationships/hyperlink" Target="https://github.com/BredaUniversityADSAI/2024-25b-fai1-adsai-MohammadaliJaberi244437/blob/main/Week%205/ML/Quizzes%20-%20Project%201B%202024-2025%20-%20Breda%20University%20of%20Applied%20Sciences(ML%20quiz%201%20week%205).pdf" TargetMode="External"/><Relationship Id="rId49" Type="http://schemas.openxmlformats.org/officeDocument/2006/relationships/hyperlink" Target="https://adsai.buas.nl/Study%20Content/Math_ML/8.LogisticRegression.html" TargetMode="External"/><Relationship Id="rId57" Type="http://schemas.openxmlformats.org/officeDocument/2006/relationships/hyperlink" Target="https://adsai.buas.nl/Study%20Content/Introduction%20to%20Machine%20Learning/%5bWk8_1%5dFinalModels.html" TargetMode="External"/><Relationship Id="rId10" Type="http://schemas.openxmlformats.org/officeDocument/2006/relationships/hyperlink" Target="https://github.com/BredaUniversityADSAI/2024-25b-fai1-adsai-MohammadaliJaberi244437/tree/main/First%20Project%20Tuesday%20first%20week" TargetMode="External"/><Relationship Id="rId31" Type="http://schemas.openxmlformats.org/officeDocument/2006/relationships/hyperlink" Target="https://github.com/BredaUniversityADSAI/2024-25b-fai1-adsai-MohammadaliJaberi244437/blob/main/week%204/BlockY1B_CreativeBrief%20(Mohammadali%20Jaberi%20244437%20final).ipynb" TargetMode="External"/><Relationship Id="rId44" Type="http://schemas.openxmlformats.org/officeDocument/2006/relationships/hyperlink" Target="https://github.com/BredaUniversityADSAI/2024-25b-fai1-adsai-MohammadaliJaberi244437/blob/main/Week%206/Math/PricePred_temp%20(Mohammadali%20Jaberi)%20Week%206%20Wednesday.ipynb" TargetMode="External"/><Relationship Id="rId52" Type="http://schemas.openxmlformats.org/officeDocument/2006/relationships/hyperlink" Target="https://github.com/BredaUniversityADSAI/2024-25b-fai1-adsai-MohammadaliJaberi244437/blob/main/Week%206/Math/LinearRegression_temp%20(Mohammadali%20)final.ipynb" TargetMode="External"/><Relationship Id="rId60" Type="http://schemas.openxmlformats.org/officeDocument/2006/relationships/hyperlink" Target="https://github.com/BredaUniversityADSAI/2024-25b-fai1-adsai-MohammadaliJaberi244437/blob/main/BlockY1B_CreativeBrief%20(Mohammadali%20Jaberi%20244437%20final%2013%20).ipynb" TargetMode="External"/><Relationship Id="rId4" Type="http://schemas.openxmlformats.org/officeDocument/2006/relationships/hyperlink" Target="https://www.youtube.com/@DrNaserRazavi" TargetMode="External"/><Relationship Id="rId9" Type="http://schemas.openxmlformats.org/officeDocument/2006/relationships/hyperlink" Target="https://github.com/BredaUniversityADSAI/2024-25b-fai1-adsai-MohammadaliJaberi244437/blob/main/learnig%20lo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43"/>
  <sheetViews>
    <sheetView tabSelected="1" topLeftCell="C1" zoomScaleNormal="100" workbookViewId="0">
      <pane ySplit="1" topLeftCell="A126" activePane="bottomLeft" state="frozen"/>
      <selection pane="bottomLeft" activeCell="F12" sqref="F12"/>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2" ht="24" x14ac:dyDescent="0.25">
      <c r="A1" s="34" t="s">
        <v>0</v>
      </c>
      <c r="B1" s="34" t="s">
        <v>1</v>
      </c>
      <c r="C1" s="34" t="s">
        <v>2</v>
      </c>
      <c r="D1" s="34" t="s">
        <v>3</v>
      </c>
      <c r="E1" s="35" t="s">
        <v>4</v>
      </c>
      <c r="F1" s="35" t="s">
        <v>5</v>
      </c>
      <c r="G1" s="35" t="s">
        <v>6</v>
      </c>
      <c r="H1" s="35" t="s">
        <v>7</v>
      </c>
      <c r="I1" s="35" t="s">
        <v>8</v>
      </c>
      <c r="J1" s="35" t="s">
        <v>9</v>
      </c>
      <c r="K1" s="36" t="s">
        <v>10</v>
      </c>
    </row>
    <row r="2" spans="1:12" ht="18.75" customHeight="1" x14ac:dyDescent="0.25">
      <c r="A2" s="61" t="s">
        <v>11</v>
      </c>
      <c r="B2" s="62"/>
      <c r="C2" s="62"/>
      <c r="D2" s="62"/>
      <c r="E2" s="62"/>
      <c r="F2" s="62"/>
      <c r="G2" s="62"/>
      <c r="H2" s="62"/>
      <c r="I2" s="62"/>
      <c r="J2" s="62"/>
      <c r="K2" s="63"/>
    </row>
    <row r="3" spans="1:12" ht="13.2" x14ac:dyDescent="0.25">
      <c r="A3" s="5" t="s">
        <v>12</v>
      </c>
      <c r="B3" s="64" t="s">
        <v>13</v>
      </c>
      <c r="C3" s="65"/>
      <c r="D3" s="65"/>
      <c r="E3" s="65"/>
      <c r="F3" s="65"/>
      <c r="G3" s="65"/>
      <c r="H3" s="65"/>
      <c r="I3" s="65"/>
      <c r="J3" s="65"/>
      <c r="K3" s="66"/>
    </row>
    <row r="4" spans="1:12" ht="27.75" customHeight="1" x14ac:dyDescent="0.25">
      <c r="A4" s="8" t="s">
        <v>14</v>
      </c>
      <c r="B4" s="64" t="s">
        <v>15</v>
      </c>
      <c r="C4" s="65"/>
      <c r="D4" s="65"/>
      <c r="E4" s="65"/>
      <c r="F4" s="65"/>
      <c r="G4" s="65"/>
      <c r="H4" s="65"/>
      <c r="I4" s="65"/>
      <c r="J4" s="65"/>
      <c r="K4" s="66"/>
    </row>
    <row r="5" spans="1:12" ht="13.2" x14ac:dyDescent="0.25">
      <c r="A5" s="37">
        <v>45614</v>
      </c>
      <c r="B5" s="38" t="s">
        <v>54</v>
      </c>
      <c r="C5" s="39" t="s">
        <v>83</v>
      </c>
      <c r="D5" s="38" t="s">
        <v>84</v>
      </c>
      <c r="E5" s="40" t="s">
        <v>49</v>
      </c>
      <c r="F5" s="40" t="s">
        <v>321</v>
      </c>
      <c r="G5" s="41">
        <v>2</v>
      </c>
      <c r="H5" s="41">
        <v>2</v>
      </c>
      <c r="I5" s="41">
        <f t="shared" ref="I5:I21" si="0">H5-G5</f>
        <v>0</v>
      </c>
      <c r="J5" s="42" t="str">
        <f>$J$7</f>
        <v>Installing some libraries on Python VS code</v>
      </c>
      <c r="K5" s="43"/>
    </row>
    <row r="6" spans="1:12" ht="13.2" x14ac:dyDescent="0.25">
      <c r="A6" s="37">
        <v>45615</v>
      </c>
      <c r="B6" s="38" t="s">
        <v>54</v>
      </c>
      <c r="C6" s="39" t="s">
        <v>69</v>
      </c>
      <c r="D6" s="38" t="s">
        <v>70</v>
      </c>
      <c r="E6" s="40" t="s">
        <v>65</v>
      </c>
      <c r="F6" s="40" t="s">
        <v>321</v>
      </c>
      <c r="G6" s="41">
        <v>3.5</v>
      </c>
      <c r="H6" s="41">
        <v>3.5</v>
      </c>
      <c r="I6" s="41">
        <f t="shared" si="0"/>
        <v>0</v>
      </c>
      <c r="J6" s="53" t="s">
        <v>114</v>
      </c>
      <c r="K6" s="44"/>
    </row>
    <row r="7" spans="1:12" ht="24" x14ac:dyDescent="0.25">
      <c r="A7" s="37">
        <v>45615</v>
      </c>
      <c r="B7" s="38" t="s">
        <v>54</v>
      </c>
      <c r="C7" s="39" t="s">
        <v>71</v>
      </c>
      <c r="D7" s="38" t="s">
        <v>72</v>
      </c>
      <c r="E7" s="40" t="s">
        <v>49</v>
      </c>
      <c r="F7" s="40" t="s">
        <v>321</v>
      </c>
      <c r="G7" s="41">
        <v>3</v>
      </c>
      <c r="H7" s="41">
        <v>4</v>
      </c>
      <c r="I7" s="41">
        <f t="shared" si="0"/>
        <v>1</v>
      </c>
      <c r="J7" s="53" t="s">
        <v>113</v>
      </c>
      <c r="K7" s="44" t="s">
        <v>120</v>
      </c>
    </row>
    <row r="8" spans="1:12" ht="24" x14ac:dyDescent="0.25">
      <c r="A8" s="37">
        <v>45615</v>
      </c>
      <c r="B8" s="38" t="s">
        <v>54</v>
      </c>
      <c r="C8" s="39" t="s">
        <v>73</v>
      </c>
      <c r="D8" s="38" t="s">
        <v>96</v>
      </c>
      <c r="E8" s="40" t="s">
        <v>63</v>
      </c>
      <c r="F8" s="40" t="s">
        <v>321</v>
      </c>
      <c r="G8" s="41">
        <v>1</v>
      </c>
      <c r="H8" s="41">
        <v>2</v>
      </c>
      <c r="I8" s="41">
        <f t="shared" si="0"/>
        <v>1</v>
      </c>
      <c r="J8" s="53" t="s">
        <v>112</v>
      </c>
      <c r="K8" s="44" t="s">
        <v>121</v>
      </c>
      <c r="L8" t="s">
        <v>74</v>
      </c>
    </row>
    <row r="9" spans="1:12" ht="13.2" x14ac:dyDescent="0.25">
      <c r="A9" s="37">
        <v>45615</v>
      </c>
      <c r="B9" s="38" t="s">
        <v>54</v>
      </c>
      <c r="C9" s="39" t="s">
        <v>75</v>
      </c>
      <c r="D9" s="38" t="s">
        <v>97</v>
      </c>
      <c r="E9" s="40" t="s">
        <v>63</v>
      </c>
      <c r="F9" s="40" t="s">
        <v>321</v>
      </c>
      <c r="G9" s="41">
        <v>0.5</v>
      </c>
      <c r="H9" s="41">
        <v>0.5</v>
      </c>
      <c r="I9" s="41">
        <f t="shared" si="0"/>
        <v>0</v>
      </c>
      <c r="J9" s="45"/>
      <c r="K9" s="44"/>
    </row>
    <row r="10" spans="1:12" ht="13.2" x14ac:dyDescent="0.25">
      <c r="A10" s="37">
        <v>45616</v>
      </c>
      <c r="B10" s="38" t="s">
        <v>54</v>
      </c>
      <c r="C10" s="39" t="s">
        <v>76</v>
      </c>
      <c r="D10" s="38" t="s">
        <v>98</v>
      </c>
      <c r="E10" s="40" t="s">
        <v>66</v>
      </c>
      <c r="F10" s="40" t="s">
        <v>321</v>
      </c>
      <c r="G10" s="41">
        <v>3</v>
      </c>
      <c r="H10" s="41">
        <v>3</v>
      </c>
      <c r="I10" s="41">
        <f t="shared" si="0"/>
        <v>0</v>
      </c>
      <c r="J10" s="45"/>
      <c r="K10" s="44"/>
    </row>
    <row r="11" spans="1:12" ht="24" x14ac:dyDescent="0.25">
      <c r="A11" s="37">
        <v>45616</v>
      </c>
      <c r="B11" s="38" t="s">
        <v>54</v>
      </c>
      <c r="C11" s="39" t="s">
        <v>77</v>
      </c>
      <c r="D11" s="38" t="s">
        <v>99</v>
      </c>
      <c r="E11" s="40" t="s">
        <v>64</v>
      </c>
      <c r="F11" s="40" t="s">
        <v>321</v>
      </c>
      <c r="G11" s="41">
        <v>1</v>
      </c>
      <c r="H11" s="41">
        <v>3</v>
      </c>
      <c r="I11" s="41">
        <f t="shared" si="0"/>
        <v>2</v>
      </c>
      <c r="J11" s="45"/>
      <c r="K11" s="44" t="s">
        <v>122</v>
      </c>
    </row>
    <row r="12" spans="1:12" ht="13.2" x14ac:dyDescent="0.25">
      <c r="A12" s="37">
        <v>45616</v>
      </c>
      <c r="B12" s="38" t="s">
        <v>54</v>
      </c>
      <c r="C12" s="39" t="s">
        <v>76</v>
      </c>
      <c r="D12" s="38" t="s">
        <v>100</v>
      </c>
      <c r="E12" s="40" t="s">
        <v>55</v>
      </c>
      <c r="F12" s="40" t="s">
        <v>321</v>
      </c>
      <c r="G12" s="41">
        <v>1</v>
      </c>
      <c r="H12" s="41">
        <v>1</v>
      </c>
      <c r="I12" s="41">
        <f t="shared" si="0"/>
        <v>0</v>
      </c>
      <c r="J12" s="45"/>
      <c r="K12" s="44"/>
    </row>
    <row r="13" spans="1:12" ht="13.2" x14ac:dyDescent="0.25">
      <c r="A13" s="37">
        <v>45616</v>
      </c>
      <c r="B13" s="38" t="s">
        <v>54</v>
      </c>
      <c r="C13" s="39" t="s">
        <v>76</v>
      </c>
      <c r="D13" s="38" t="s">
        <v>78</v>
      </c>
      <c r="E13" s="40" t="s">
        <v>49</v>
      </c>
      <c r="F13" s="40" t="s">
        <v>321</v>
      </c>
      <c r="G13" s="41">
        <v>2</v>
      </c>
      <c r="H13" s="41">
        <v>2</v>
      </c>
      <c r="I13" s="41">
        <f t="shared" si="0"/>
        <v>0</v>
      </c>
      <c r="J13" s="53" t="s">
        <v>111</v>
      </c>
      <c r="K13" s="44"/>
    </row>
    <row r="14" spans="1:12" ht="13.2" x14ac:dyDescent="0.25">
      <c r="A14" s="37">
        <v>45617</v>
      </c>
      <c r="B14" s="38" t="s">
        <v>54</v>
      </c>
      <c r="C14" s="39" t="s">
        <v>79</v>
      </c>
      <c r="D14" s="38" t="s">
        <v>101</v>
      </c>
      <c r="E14" s="40" t="s">
        <v>66</v>
      </c>
      <c r="F14" s="40" t="s">
        <v>229</v>
      </c>
      <c r="G14" s="41">
        <v>4</v>
      </c>
      <c r="H14" s="41">
        <v>4</v>
      </c>
      <c r="I14" s="41">
        <f t="shared" si="0"/>
        <v>0</v>
      </c>
      <c r="J14" s="45"/>
      <c r="K14" s="44"/>
    </row>
    <row r="15" spans="1:12" ht="36" x14ac:dyDescent="0.25">
      <c r="A15" s="37">
        <v>45617</v>
      </c>
      <c r="B15" s="38" t="s">
        <v>54</v>
      </c>
      <c r="C15" s="39" t="s">
        <v>80</v>
      </c>
      <c r="D15" s="38" t="s">
        <v>102</v>
      </c>
      <c r="E15" s="40" t="s">
        <v>66</v>
      </c>
      <c r="F15" s="40" t="s">
        <v>229</v>
      </c>
      <c r="G15" s="41">
        <v>0.5</v>
      </c>
      <c r="H15" s="41">
        <v>1</v>
      </c>
      <c r="I15" s="41">
        <f t="shared" si="0"/>
        <v>0.5</v>
      </c>
      <c r="J15" s="53" t="s">
        <v>110</v>
      </c>
      <c r="K15" s="44" t="s">
        <v>123</v>
      </c>
    </row>
    <row r="16" spans="1:12" ht="36" x14ac:dyDescent="0.25">
      <c r="A16" s="37">
        <v>45618</v>
      </c>
      <c r="B16" s="38" t="s">
        <v>54</v>
      </c>
      <c r="C16" s="39" t="s">
        <v>81</v>
      </c>
      <c r="D16" s="38" t="s">
        <v>103</v>
      </c>
      <c r="E16" s="40" t="s">
        <v>49</v>
      </c>
      <c r="F16" s="40" t="s">
        <v>230</v>
      </c>
      <c r="G16" s="41">
        <v>4</v>
      </c>
      <c r="H16" s="41">
        <v>5</v>
      </c>
      <c r="I16" s="41">
        <f t="shared" si="0"/>
        <v>1</v>
      </c>
      <c r="J16" s="45"/>
      <c r="K16" s="44" t="s">
        <v>124</v>
      </c>
    </row>
    <row r="17" spans="1:11" ht="24" x14ac:dyDescent="0.25">
      <c r="A17" s="37">
        <v>45618</v>
      </c>
      <c r="B17" s="38" t="s">
        <v>54</v>
      </c>
      <c r="C17" s="39" t="s">
        <v>105</v>
      </c>
      <c r="D17" s="38" t="s">
        <v>104</v>
      </c>
      <c r="E17" s="40" t="s">
        <v>49</v>
      </c>
      <c r="F17" s="40" t="s">
        <v>230</v>
      </c>
      <c r="G17" s="41">
        <v>0.5</v>
      </c>
      <c r="H17" s="41">
        <v>0.5</v>
      </c>
      <c r="I17" s="41">
        <f t="shared" si="0"/>
        <v>0</v>
      </c>
      <c r="J17" s="53" t="s">
        <v>109</v>
      </c>
      <c r="K17" s="44" t="s">
        <v>125</v>
      </c>
    </row>
    <row r="18" spans="1:11" ht="24" x14ac:dyDescent="0.25">
      <c r="A18" s="37">
        <v>45619</v>
      </c>
      <c r="B18" s="38" t="s">
        <v>54</v>
      </c>
      <c r="C18" s="39" t="s">
        <v>82</v>
      </c>
      <c r="D18" s="38" t="s">
        <v>133</v>
      </c>
      <c r="E18" s="40" t="s">
        <v>66</v>
      </c>
      <c r="F18" s="40" t="s">
        <v>230</v>
      </c>
      <c r="G18" s="41">
        <v>4</v>
      </c>
      <c r="H18" s="41">
        <v>4</v>
      </c>
      <c r="I18" s="41">
        <f t="shared" si="0"/>
        <v>0</v>
      </c>
      <c r="J18" s="53" t="s">
        <v>108</v>
      </c>
      <c r="K18" s="44" t="s">
        <v>126</v>
      </c>
    </row>
    <row r="19" spans="1:11" ht="13.2" x14ac:dyDescent="0.25">
      <c r="A19" s="37">
        <v>45620</v>
      </c>
      <c r="B19" s="38" t="s">
        <v>54</v>
      </c>
      <c r="C19" s="39" t="s">
        <v>83</v>
      </c>
      <c r="D19" s="38" t="s">
        <v>106</v>
      </c>
      <c r="E19" s="40" t="s">
        <v>49</v>
      </c>
      <c r="F19" s="40" t="s">
        <v>234</v>
      </c>
      <c r="G19" s="41">
        <v>2</v>
      </c>
      <c r="H19" s="41">
        <v>2</v>
      </c>
      <c r="I19" s="41">
        <f>H19-G19</f>
        <v>0</v>
      </c>
      <c r="J19" s="45"/>
      <c r="K19" s="44"/>
    </row>
    <row r="20" spans="1:11" ht="13.2" x14ac:dyDescent="0.25">
      <c r="A20" s="37">
        <v>45620</v>
      </c>
      <c r="B20" s="38" t="s">
        <v>54</v>
      </c>
      <c r="C20" s="39" t="s">
        <v>75</v>
      </c>
      <c r="D20" s="38" t="s">
        <v>107</v>
      </c>
      <c r="E20" s="40" t="s">
        <v>63</v>
      </c>
      <c r="F20" s="40"/>
      <c r="G20" s="41">
        <v>0.5</v>
      </c>
      <c r="H20" s="41">
        <v>0.5</v>
      </c>
      <c r="I20" s="41">
        <f t="shared" si="0"/>
        <v>0</v>
      </c>
      <c r="J20" s="45"/>
      <c r="K20" s="44"/>
    </row>
    <row r="21" spans="1:11" ht="13.2" x14ac:dyDescent="0.25">
      <c r="A21" s="13"/>
      <c r="B21" s="15"/>
      <c r="C21" s="15"/>
      <c r="D21" s="15"/>
      <c r="E21" s="15" t="s">
        <v>18</v>
      </c>
      <c r="F21" s="15"/>
      <c r="G21" s="18">
        <f>SUM(G5:G20)</f>
        <v>32.5</v>
      </c>
      <c r="H21" s="18">
        <f>SUM(H5:H20)</f>
        <v>38</v>
      </c>
      <c r="I21" s="18">
        <f t="shared" si="0"/>
        <v>5.5</v>
      </c>
      <c r="J21" s="19"/>
      <c r="K21" s="46"/>
    </row>
    <row r="22" spans="1:11" ht="18.75" customHeight="1" x14ac:dyDescent="0.25">
      <c r="A22" s="67" t="s">
        <v>19</v>
      </c>
      <c r="B22" s="62"/>
      <c r="C22" s="62"/>
      <c r="D22" s="62"/>
      <c r="E22" s="62"/>
      <c r="F22" s="62"/>
      <c r="G22" s="62"/>
      <c r="H22" s="62"/>
      <c r="I22" s="62"/>
      <c r="J22" s="62"/>
      <c r="K22" s="63"/>
    </row>
    <row r="23" spans="1:11" ht="13.2" x14ac:dyDescent="0.25">
      <c r="A23" s="31" t="s">
        <v>12</v>
      </c>
      <c r="B23" s="68" t="s">
        <v>13</v>
      </c>
      <c r="C23" s="65"/>
      <c r="D23" s="65"/>
      <c r="E23" s="65"/>
      <c r="F23" s="65"/>
      <c r="G23" s="65"/>
      <c r="H23" s="65"/>
      <c r="I23" s="65"/>
      <c r="J23" s="65"/>
      <c r="K23" s="66"/>
    </row>
    <row r="24" spans="1:11" ht="27.75" customHeight="1" x14ac:dyDescent="0.25">
      <c r="A24" s="20" t="s">
        <v>14</v>
      </c>
      <c r="B24" s="68" t="s">
        <v>20</v>
      </c>
      <c r="C24" s="65"/>
      <c r="D24" s="65"/>
      <c r="E24" s="65"/>
      <c r="F24" s="65"/>
      <c r="G24" s="65"/>
      <c r="H24" s="65"/>
      <c r="I24" s="65"/>
      <c r="J24" s="65"/>
      <c r="K24" s="66"/>
    </row>
    <row r="25" spans="1:11" ht="13.2" x14ac:dyDescent="0.25">
      <c r="A25" s="47">
        <v>45621</v>
      </c>
      <c r="B25" s="38" t="s">
        <v>54</v>
      </c>
      <c r="C25" s="39" t="s">
        <v>85</v>
      </c>
      <c r="D25" s="38" t="s">
        <v>134</v>
      </c>
      <c r="E25" s="40" t="s">
        <v>66</v>
      </c>
      <c r="F25" s="40" t="s">
        <v>229</v>
      </c>
      <c r="G25" s="41">
        <v>3</v>
      </c>
      <c r="H25" s="41">
        <v>3</v>
      </c>
      <c r="I25" s="41">
        <f t="shared" ref="I25:I39" si="1">H25-G25</f>
        <v>0</v>
      </c>
      <c r="J25" s="45"/>
      <c r="K25" s="43"/>
    </row>
    <row r="26" spans="1:11" ht="13.2" x14ac:dyDescent="0.25">
      <c r="A26" s="47">
        <v>45621</v>
      </c>
      <c r="B26" s="38" t="s">
        <v>54</v>
      </c>
      <c r="C26" s="39" t="s">
        <v>86</v>
      </c>
      <c r="D26" s="38" t="s">
        <v>87</v>
      </c>
      <c r="E26" s="40" t="s">
        <v>66</v>
      </c>
      <c r="F26" s="56" t="s">
        <v>231</v>
      </c>
      <c r="G26" s="41">
        <v>1.5</v>
      </c>
      <c r="H26" s="41">
        <v>2</v>
      </c>
      <c r="I26" s="41">
        <f t="shared" si="1"/>
        <v>0.5</v>
      </c>
      <c r="J26" s="45" t="str">
        <f>$J$18</f>
        <v>Machine learning course in Persian</v>
      </c>
      <c r="K26" s="43"/>
    </row>
    <row r="27" spans="1:11" ht="13.2" x14ac:dyDescent="0.25">
      <c r="A27" s="47">
        <v>45621</v>
      </c>
      <c r="B27" s="38" t="s">
        <v>54</v>
      </c>
      <c r="C27" s="39" t="s">
        <v>88</v>
      </c>
      <c r="D27" s="38" t="s">
        <v>116</v>
      </c>
      <c r="E27" s="40" t="s">
        <v>66</v>
      </c>
      <c r="F27" s="40" t="s">
        <v>232</v>
      </c>
      <c r="G27" s="41">
        <v>0.5</v>
      </c>
      <c r="H27" s="41">
        <v>0.5</v>
      </c>
      <c r="I27" s="41">
        <f t="shared" si="1"/>
        <v>0</v>
      </c>
      <c r="J27" s="53" t="s">
        <v>115</v>
      </c>
    </row>
    <row r="28" spans="1:11" ht="13.2" x14ac:dyDescent="0.25">
      <c r="A28" s="47">
        <v>45621</v>
      </c>
      <c r="B28" s="38" t="s">
        <v>54</v>
      </c>
      <c r="C28" s="39" t="s">
        <v>49</v>
      </c>
      <c r="D28" s="38" t="s">
        <v>117</v>
      </c>
      <c r="E28" s="40" t="s">
        <v>49</v>
      </c>
      <c r="F28" s="40" t="s">
        <v>232</v>
      </c>
      <c r="G28" s="41">
        <v>2</v>
      </c>
      <c r="H28" s="41">
        <v>2</v>
      </c>
      <c r="I28" s="41">
        <f t="shared" si="1"/>
        <v>0</v>
      </c>
      <c r="J28" s="45"/>
      <c r="K28" s="43"/>
    </row>
    <row r="29" spans="1:11" ht="13.2" x14ac:dyDescent="0.25">
      <c r="A29" s="47">
        <v>45622</v>
      </c>
      <c r="B29" s="38" t="s">
        <v>54</v>
      </c>
      <c r="C29" s="39" t="s">
        <v>49</v>
      </c>
      <c r="D29" s="38" t="s">
        <v>89</v>
      </c>
      <c r="E29" s="40" t="s">
        <v>49</v>
      </c>
      <c r="F29" s="40" t="s">
        <v>232</v>
      </c>
      <c r="G29" s="41">
        <v>6</v>
      </c>
      <c r="H29" s="41">
        <v>6</v>
      </c>
      <c r="I29" s="41">
        <f t="shared" si="1"/>
        <v>0</v>
      </c>
      <c r="J29" s="53" t="s">
        <v>94</v>
      </c>
      <c r="K29" s="43" t="s">
        <v>127</v>
      </c>
    </row>
    <row r="30" spans="1:11" ht="13.2" x14ac:dyDescent="0.25">
      <c r="A30" s="47">
        <v>45623</v>
      </c>
      <c r="B30" s="38" t="s">
        <v>54</v>
      </c>
      <c r="C30" s="39" t="s">
        <v>90</v>
      </c>
      <c r="D30" s="38" t="s">
        <v>144</v>
      </c>
      <c r="E30" s="40" t="s">
        <v>66</v>
      </c>
      <c r="F30" s="40" t="s">
        <v>233</v>
      </c>
      <c r="G30" s="41">
        <v>3</v>
      </c>
      <c r="H30" s="41">
        <v>3</v>
      </c>
      <c r="I30" s="41">
        <f t="shared" si="1"/>
        <v>0</v>
      </c>
      <c r="J30" s="45"/>
      <c r="K30" s="43" t="s">
        <v>128</v>
      </c>
    </row>
    <row r="31" spans="1:11" ht="13.2" x14ac:dyDescent="0.25">
      <c r="A31" s="47">
        <v>45623</v>
      </c>
      <c r="B31" s="38" t="s">
        <v>54</v>
      </c>
      <c r="C31" s="39" t="s">
        <v>91</v>
      </c>
      <c r="D31" s="38" t="s">
        <v>143</v>
      </c>
      <c r="E31" s="40" t="s">
        <v>66</v>
      </c>
      <c r="F31" s="40" t="s">
        <v>233</v>
      </c>
      <c r="G31" s="41">
        <v>0.5</v>
      </c>
      <c r="H31" s="41">
        <v>0.5</v>
      </c>
      <c r="I31" s="41">
        <f t="shared" si="1"/>
        <v>0</v>
      </c>
      <c r="J31" s="53" t="s">
        <v>91</v>
      </c>
      <c r="K31" s="54"/>
    </row>
    <row r="32" spans="1:11" ht="13.2" x14ac:dyDescent="0.25">
      <c r="A32" s="47">
        <v>45623</v>
      </c>
      <c r="B32" s="38" t="s">
        <v>54</v>
      </c>
      <c r="C32" s="39" t="s">
        <v>49</v>
      </c>
      <c r="D32" s="38" t="s">
        <v>141</v>
      </c>
      <c r="E32" s="40" t="s">
        <v>49</v>
      </c>
      <c r="F32" s="40" t="s">
        <v>234</v>
      </c>
      <c r="G32" s="41">
        <v>2</v>
      </c>
      <c r="H32" s="41">
        <v>2</v>
      </c>
      <c r="I32" s="41">
        <f t="shared" si="1"/>
        <v>0</v>
      </c>
      <c r="J32" s="53" t="s">
        <v>135</v>
      </c>
      <c r="K32" s="43" t="s">
        <v>129</v>
      </c>
    </row>
    <row r="33" spans="1:11" ht="13.2" x14ac:dyDescent="0.25">
      <c r="A33" s="47">
        <v>45624</v>
      </c>
      <c r="B33" s="38" t="s">
        <v>54</v>
      </c>
      <c r="C33" s="39" t="s">
        <v>92</v>
      </c>
      <c r="D33" s="38" t="s">
        <v>142</v>
      </c>
      <c r="E33" s="40" t="s">
        <v>66</v>
      </c>
      <c r="F33" s="40" t="s">
        <v>229</v>
      </c>
      <c r="G33" s="41">
        <v>4</v>
      </c>
      <c r="H33" s="41">
        <v>5</v>
      </c>
      <c r="I33" s="41">
        <f t="shared" si="1"/>
        <v>1</v>
      </c>
      <c r="J33" s="53" t="s">
        <v>95</v>
      </c>
      <c r="K33" s="43" t="s">
        <v>130</v>
      </c>
    </row>
    <row r="34" spans="1:11" ht="13.2" x14ac:dyDescent="0.25">
      <c r="A34" s="47">
        <v>45624</v>
      </c>
      <c r="B34" s="38" t="s">
        <v>54</v>
      </c>
      <c r="C34" s="39" t="s">
        <v>49</v>
      </c>
      <c r="D34" s="38" t="s">
        <v>141</v>
      </c>
      <c r="E34" s="40" t="s">
        <v>93</v>
      </c>
      <c r="F34" s="40" t="s">
        <v>234</v>
      </c>
      <c r="G34" s="41">
        <v>2</v>
      </c>
      <c r="H34" s="41">
        <v>2</v>
      </c>
      <c r="I34" s="41">
        <f t="shared" si="1"/>
        <v>0</v>
      </c>
      <c r="J34" s="45"/>
      <c r="K34" s="43" t="s">
        <v>131</v>
      </c>
    </row>
    <row r="35" spans="1:11" ht="13.2" x14ac:dyDescent="0.25">
      <c r="A35" s="47">
        <v>45625</v>
      </c>
      <c r="B35" s="38" t="s">
        <v>54</v>
      </c>
      <c r="C35" s="39" t="s">
        <v>71</v>
      </c>
      <c r="D35" s="38" t="s">
        <v>140</v>
      </c>
      <c r="E35" s="40" t="s">
        <v>49</v>
      </c>
      <c r="F35" s="40" t="s">
        <v>229</v>
      </c>
      <c r="G35" s="41">
        <v>5</v>
      </c>
      <c r="H35" s="41">
        <v>5</v>
      </c>
      <c r="I35" s="41">
        <f t="shared" si="1"/>
        <v>0</v>
      </c>
      <c r="J35" s="45"/>
      <c r="K35" s="43" t="s">
        <v>132</v>
      </c>
    </row>
    <row r="36" spans="1:11" ht="13.2" x14ac:dyDescent="0.25">
      <c r="A36" s="47">
        <v>45626</v>
      </c>
      <c r="B36" s="38" t="s">
        <v>54</v>
      </c>
      <c r="C36" s="39" t="s">
        <v>119</v>
      </c>
      <c r="D36" s="38" t="s">
        <v>118</v>
      </c>
      <c r="E36" s="40" t="s">
        <v>63</v>
      </c>
      <c r="F36" s="40" t="s">
        <v>321</v>
      </c>
      <c r="G36" s="41">
        <v>2</v>
      </c>
      <c r="H36" s="41">
        <v>3</v>
      </c>
      <c r="I36" s="41">
        <f t="shared" si="1"/>
        <v>1</v>
      </c>
      <c r="J36" s="45"/>
      <c r="K36" s="43" t="s">
        <v>136</v>
      </c>
    </row>
    <row r="37" spans="1:11" ht="13.2" x14ac:dyDescent="0.25">
      <c r="A37" s="47">
        <v>45627</v>
      </c>
      <c r="B37" s="38" t="s">
        <v>54</v>
      </c>
      <c r="C37" s="39" t="s">
        <v>137</v>
      </c>
      <c r="D37" s="38" t="s">
        <v>139</v>
      </c>
      <c r="E37" s="40" t="s">
        <v>66</v>
      </c>
      <c r="F37" s="40" t="s">
        <v>230</v>
      </c>
      <c r="G37" s="41">
        <v>3</v>
      </c>
      <c r="H37" s="41">
        <v>3</v>
      </c>
      <c r="I37" s="41">
        <f t="shared" si="1"/>
        <v>0</v>
      </c>
      <c r="J37" s="45"/>
      <c r="K37" s="43" t="s">
        <v>138</v>
      </c>
    </row>
    <row r="38" spans="1:11" ht="13.2" x14ac:dyDescent="0.25">
      <c r="A38" s="47"/>
      <c r="B38" s="38"/>
      <c r="C38" s="39" t="s">
        <v>17</v>
      </c>
      <c r="D38" s="38"/>
      <c r="E38" s="40"/>
      <c r="F38" s="40"/>
      <c r="G38" s="41"/>
      <c r="H38" s="41"/>
      <c r="I38" s="41">
        <f t="shared" si="1"/>
        <v>0</v>
      </c>
      <c r="J38" s="45"/>
      <c r="K38" s="43"/>
    </row>
    <row r="39" spans="1:11" ht="13.2" x14ac:dyDescent="0.25">
      <c r="A39" s="13"/>
      <c r="B39" s="15"/>
      <c r="C39" s="15"/>
      <c r="D39" s="15"/>
      <c r="E39" s="15" t="s">
        <v>18</v>
      </c>
      <c r="F39" s="15"/>
      <c r="G39" s="18">
        <f>SUM(G23:G38)</f>
        <v>34.5</v>
      </c>
      <c r="H39" s="18">
        <f>SUM(H23:H38)</f>
        <v>37</v>
      </c>
      <c r="I39" s="18">
        <f t="shared" si="1"/>
        <v>2.5</v>
      </c>
      <c r="J39" s="19"/>
      <c r="K39" s="46"/>
    </row>
    <row r="40" spans="1:11" ht="18.75" customHeight="1" x14ac:dyDescent="0.25">
      <c r="A40" s="69" t="s">
        <v>21</v>
      </c>
      <c r="B40" s="65"/>
      <c r="C40" s="65"/>
      <c r="D40" s="65"/>
      <c r="E40" s="65"/>
      <c r="F40" s="65"/>
      <c r="G40" s="65"/>
      <c r="H40" s="65"/>
      <c r="I40" s="65"/>
      <c r="J40" s="65"/>
      <c r="K40" s="66"/>
    </row>
    <row r="41" spans="1:11" ht="13.2" x14ac:dyDescent="0.25">
      <c r="A41" s="21" t="s">
        <v>12</v>
      </c>
      <c r="B41" s="70" t="s">
        <v>13</v>
      </c>
      <c r="C41" s="65"/>
      <c r="D41" s="65"/>
      <c r="E41" s="65"/>
      <c r="F41" s="65"/>
      <c r="G41" s="65"/>
      <c r="H41" s="65"/>
      <c r="I41" s="65"/>
      <c r="J41" s="65"/>
      <c r="K41" s="66"/>
    </row>
    <row r="42" spans="1:11" ht="27.75" customHeight="1" x14ac:dyDescent="0.25">
      <c r="A42" s="22" t="s">
        <v>14</v>
      </c>
      <c r="B42" s="70" t="s">
        <v>15</v>
      </c>
      <c r="C42" s="65"/>
      <c r="D42" s="65"/>
      <c r="E42" s="65"/>
      <c r="F42" s="65"/>
      <c r="G42" s="65"/>
      <c r="H42" s="65"/>
      <c r="I42" s="65"/>
      <c r="J42" s="65"/>
      <c r="K42" s="66"/>
    </row>
    <row r="43" spans="1:11" ht="13.2" x14ac:dyDescent="0.25">
      <c r="A43" s="37">
        <v>45628</v>
      </c>
      <c r="B43" s="38" t="s">
        <v>54</v>
      </c>
      <c r="C43" s="39" t="s">
        <v>145</v>
      </c>
      <c r="D43" s="38" t="s">
        <v>146</v>
      </c>
      <c r="E43" s="40" t="s">
        <v>66</v>
      </c>
      <c r="F43" s="40" t="s">
        <v>230</v>
      </c>
      <c r="G43" s="41">
        <v>2</v>
      </c>
      <c r="H43" s="41">
        <v>2</v>
      </c>
      <c r="I43" s="41">
        <f t="shared" ref="I43:I60" si="2">H43-G43</f>
        <v>0</v>
      </c>
      <c r="J43" s="45"/>
      <c r="K43" s="43"/>
    </row>
    <row r="44" spans="1:11" ht="13.2" x14ac:dyDescent="0.25">
      <c r="A44" s="37">
        <v>45628</v>
      </c>
      <c r="B44" s="38" t="s">
        <v>54</v>
      </c>
      <c r="C44" s="39" t="s">
        <v>147</v>
      </c>
      <c r="D44" s="38" t="s">
        <v>148</v>
      </c>
      <c r="E44" s="40" t="s">
        <v>66</v>
      </c>
      <c r="F44" s="40" t="s">
        <v>230</v>
      </c>
      <c r="G44" s="41">
        <v>2</v>
      </c>
      <c r="H44" s="41">
        <v>2</v>
      </c>
      <c r="I44" s="41">
        <f t="shared" si="2"/>
        <v>0</v>
      </c>
      <c r="J44" s="45"/>
      <c r="K44" s="43"/>
    </row>
    <row r="45" spans="1:11" ht="13.2" x14ac:dyDescent="0.25">
      <c r="A45" s="37">
        <v>45628</v>
      </c>
      <c r="B45" s="38" t="s">
        <v>54</v>
      </c>
      <c r="C45" s="39" t="s">
        <v>80</v>
      </c>
      <c r="D45" s="38" t="s">
        <v>149</v>
      </c>
      <c r="E45" s="40" t="s">
        <v>55</v>
      </c>
      <c r="F45" s="40" t="s">
        <v>230</v>
      </c>
      <c r="G45" s="41">
        <v>1</v>
      </c>
      <c r="H45" s="41">
        <v>1</v>
      </c>
      <c r="I45" s="41">
        <f t="shared" si="2"/>
        <v>0</v>
      </c>
      <c r="J45" s="53" t="s">
        <v>172</v>
      </c>
      <c r="K45" s="43"/>
    </row>
    <row r="46" spans="1:11" ht="13.2" x14ac:dyDescent="0.25">
      <c r="A46" s="37">
        <v>45628</v>
      </c>
      <c r="B46" s="38" t="s">
        <v>54</v>
      </c>
      <c r="C46" s="39" t="s">
        <v>80</v>
      </c>
      <c r="D46" s="38" t="s">
        <v>150</v>
      </c>
      <c r="E46" s="40" t="s">
        <v>55</v>
      </c>
      <c r="F46" s="40" t="s">
        <v>230</v>
      </c>
      <c r="G46" s="41">
        <v>1</v>
      </c>
      <c r="H46" s="41">
        <v>1</v>
      </c>
      <c r="I46" s="41">
        <f t="shared" si="2"/>
        <v>0</v>
      </c>
      <c r="J46" s="53" t="s">
        <v>173</v>
      </c>
      <c r="K46" s="43"/>
    </row>
    <row r="47" spans="1:11" ht="13.2" x14ac:dyDescent="0.25">
      <c r="A47" s="37">
        <v>45629</v>
      </c>
      <c r="B47" s="38" t="s">
        <v>54</v>
      </c>
      <c r="C47" s="39" t="s">
        <v>151</v>
      </c>
      <c r="D47" s="38" t="s">
        <v>152</v>
      </c>
      <c r="E47" s="40" t="s">
        <v>66</v>
      </c>
      <c r="F47" s="40" t="s">
        <v>230</v>
      </c>
      <c r="G47" s="41">
        <v>2</v>
      </c>
      <c r="H47" s="41">
        <v>2</v>
      </c>
      <c r="I47" s="41">
        <f t="shared" si="2"/>
        <v>0</v>
      </c>
      <c r="J47" s="53" t="s">
        <v>151</v>
      </c>
      <c r="K47" s="43"/>
    </row>
    <row r="48" spans="1:11" ht="13.2" x14ac:dyDescent="0.25">
      <c r="A48" s="37">
        <v>45629</v>
      </c>
      <c r="B48" s="38" t="s">
        <v>54</v>
      </c>
      <c r="C48" s="39" t="s">
        <v>153</v>
      </c>
      <c r="D48" s="38" t="s">
        <v>154</v>
      </c>
      <c r="E48" s="40" t="s">
        <v>49</v>
      </c>
      <c r="F48" s="40" t="s">
        <v>230</v>
      </c>
      <c r="G48" s="41">
        <v>2</v>
      </c>
      <c r="H48" s="41">
        <v>2</v>
      </c>
      <c r="I48" s="41">
        <f t="shared" si="2"/>
        <v>0</v>
      </c>
      <c r="J48" s="53" t="s">
        <v>174</v>
      </c>
      <c r="K48" s="43"/>
    </row>
    <row r="49" spans="1:11" ht="13.2" x14ac:dyDescent="0.25">
      <c r="A49" s="37">
        <v>45630</v>
      </c>
      <c r="B49" s="38" t="s">
        <v>54</v>
      </c>
      <c r="C49" s="39" t="s">
        <v>156</v>
      </c>
      <c r="D49" s="38" t="s">
        <v>155</v>
      </c>
      <c r="E49" s="40" t="s">
        <v>66</v>
      </c>
      <c r="F49" s="40" t="s">
        <v>234</v>
      </c>
      <c r="G49" s="41">
        <v>3</v>
      </c>
      <c r="H49" s="41">
        <v>3</v>
      </c>
      <c r="I49" s="41">
        <f t="shared" si="2"/>
        <v>0</v>
      </c>
      <c r="J49" s="53" t="s">
        <v>175</v>
      </c>
      <c r="K49" s="43"/>
    </row>
    <row r="50" spans="1:11" ht="13.2" x14ac:dyDescent="0.25">
      <c r="A50" s="37">
        <v>45630</v>
      </c>
      <c r="B50" s="38" t="s">
        <v>54</v>
      </c>
      <c r="C50" s="39" t="s">
        <v>91</v>
      </c>
      <c r="D50" s="38" t="s">
        <v>157</v>
      </c>
      <c r="E50" s="40" t="s">
        <v>55</v>
      </c>
      <c r="F50" s="40" t="s">
        <v>234</v>
      </c>
      <c r="G50" s="41">
        <v>1</v>
      </c>
      <c r="H50" s="41">
        <v>1</v>
      </c>
      <c r="I50" s="41">
        <f t="shared" si="2"/>
        <v>0</v>
      </c>
      <c r="J50" s="45"/>
      <c r="K50" s="43" t="s">
        <v>158</v>
      </c>
    </row>
    <row r="51" spans="1:11" ht="13.2" x14ac:dyDescent="0.25">
      <c r="A51" s="37">
        <v>45631</v>
      </c>
      <c r="B51" s="38" t="s">
        <v>54</v>
      </c>
      <c r="C51" s="39" t="s">
        <v>159</v>
      </c>
      <c r="D51" s="38" t="s">
        <v>160</v>
      </c>
      <c r="E51" s="40" t="s">
        <v>66</v>
      </c>
      <c r="F51" s="40" t="s">
        <v>230</v>
      </c>
      <c r="G51" s="41">
        <v>3</v>
      </c>
      <c r="H51" s="41">
        <v>3</v>
      </c>
      <c r="I51" s="41">
        <f t="shared" si="2"/>
        <v>0</v>
      </c>
      <c r="J51" s="53" t="s">
        <v>180</v>
      </c>
      <c r="K51" s="43"/>
    </row>
    <row r="52" spans="1:11" ht="13.2" x14ac:dyDescent="0.25">
      <c r="A52" s="37">
        <v>45631</v>
      </c>
      <c r="B52" s="38" t="s">
        <v>54</v>
      </c>
      <c r="C52" s="39" t="s">
        <v>161</v>
      </c>
      <c r="D52" s="38" t="s">
        <v>150</v>
      </c>
      <c r="E52" s="40" t="s">
        <v>66</v>
      </c>
      <c r="F52" s="40" t="s">
        <v>230</v>
      </c>
      <c r="G52" s="41">
        <v>1</v>
      </c>
      <c r="H52" s="41">
        <v>1</v>
      </c>
      <c r="I52" s="41">
        <f t="shared" si="2"/>
        <v>0</v>
      </c>
      <c r="J52" s="53" t="s">
        <v>176</v>
      </c>
      <c r="K52" s="43"/>
    </row>
    <row r="53" spans="1:11" ht="13.2" x14ac:dyDescent="0.25">
      <c r="A53" s="37">
        <v>45632</v>
      </c>
      <c r="B53" s="38" t="s">
        <v>54</v>
      </c>
      <c r="C53" s="39" t="s">
        <v>162</v>
      </c>
      <c r="D53" s="38" t="s">
        <v>163</v>
      </c>
      <c r="E53" s="40" t="s">
        <v>49</v>
      </c>
      <c r="F53" s="40" t="s">
        <v>230</v>
      </c>
      <c r="G53" s="41">
        <v>2</v>
      </c>
      <c r="H53" s="41">
        <v>2</v>
      </c>
      <c r="I53" s="41">
        <f t="shared" si="2"/>
        <v>0</v>
      </c>
      <c r="J53" s="53" t="s">
        <v>177</v>
      </c>
      <c r="K53" s="43"/>
    </row>
    <row r="54" spans="1:11" ht="13.2" x14ac:dyDescent="0.25">
      <c r="A54" s="37">
        <v>45632</v>
      </c>
      <c r="B54" s="38" t="s">
        <v>54</v>
      </c>
      <c r="C54" s="39" t="s">
        <v>65</v>
      </c>
      <c r="D54" s="38" t="s">
        <v>164</v>
      </c>
      <c r="E54" s="40" t="s">
        <v>65</v>
      </c>
      <c r="F54" s="40" t="s">
        <v>230</v>
      </c>
      <c r="G54" s="41">
        <v>2</v>
      </c>
      <c r="H54" s="41">
        <v>2</v>
      </c>
      <c r="I54" s="41">
        <f t="shared" si="2"/>
        <v>0</v>
      </c>
      <c r="J54" s="45"/>
      <c r="K54" s="43"/>
    </row>
    <row r="55" spans="1:11" ht="13.2" x14ac:dyDescent="0.25">
      <c r="A55" s="37">
        <v>45632</v>
      </c>
      <c r="B55" s="38" t="s">
        <v>54</v>
      </c>
      <c r="C55" s="39" t="s">
        <v>165</v>
      </c>
      <c r="D55" s="38" t="s">
        <v>166</v>
      </c>
      <c r="E55" s="40" t="s">
        <v>49</v>
      </c>
      <c r="F55" s="40" t="s">
        <v>230</v>
      </c>
      <c r="G55" s="41">
        <v>2</v>
      </c>
      <c r="H55" s="41">
        <v>2</v>
      </c>
      <c r="I55" s="41">
        <f t="shared" si="2"/>
        <v>0</v>
      </c>
      <c r="J55" s="45"/>
      <c r="K55" s="43"/>
    </row>
    <row r="56" spans="1:11" ht="13.2" x14ac:dyDescent="0.25">
      <c r="A56" s="37">
        <v>45633</v>
      </c>
      <c r="B56" s="38" t="s">
        <v>54</v>
      </c>
      <c r="C56" s="39" t="s">
        <v>167</v>
      </c>
      <c r="D56" s="38" t="s">
        <v>168</v>
      </c>
      <c r="E56" s="40" t="s">
        <v>52</v>
      </c>
      <c r="F56" s="40" t="s">
        <v>321</v>
      </c>
      <c r="G56" s="41">
        <v>2</v>
      </c>
      <c r="H56" s="41">
        <v>2</v>
      </c>
      <c r="I56" s="41">
        <f t="shared" si="2"/>
        <v>0</v>
      </c>
      <c r="J56" s="53" t="s">
        <v>178</v>
      </c>
      <c r="K56" s="43"/>
    </row>
    <row r="57" spans="1:11" ht="13.2" x14ac:dyDescent="0.25">
      <c r="A57" s="37">
        <v>45633</v>
      </c>
      <c r="B57" s="38" t="s">
        <v>54</v>
      </c>
      <c r="C57" s="39" t="s">
        <v>169</v>
      </c>
      <c r="D57" s="38" t="s">
        <v>170</v>
      </c>
      <c r="E57" s="40" t="s">
        <v>66</v>
      </c>
      <c r="F57" s="40" t="s">
        <v>230</v>
      </c>
      <c r="G57" s="41">
        <v>2</v>
      </c>
      <c r="H57" s="41">
        <v>2</v>
      </c>
      <c r="I57" s="41">
        <f t="shared" si="2"/>
        <v>0</v>
      </c>
      <c r="J57" s="55" t="s">
        <v>179</v>
      </c>
      <c r="K57" s="43"/>
    </row>
    <row r="58" spans="1:11" ht="13.2" x14ac:dyDescent="0.25">
      <c r="A58" s="37">
        <v>45634</v>
      </c>
      <c r="B58" s="38" t="s">
        <v>54</v>
      </c>
      <c r="C58" s="39" t="s">
        <v>118</v>
      </c>
      <c r="D58" s="38" t="s">
        <v>118</v>
      </c>
      <c r="E58" s="40" t="s">
        <v>63</v>
      </c>
      <c r="F58" s="40" t="s">
        <v>321</v>
      </c>
      <c r="G58" s="41">
        <v>3</v>
      </c>
      <c r="H58" s="41">
        <v>3</v>
      </c>
      <c r="I58" s="41">
        <f t="shared" si="2"/>
        <v>0</v>
      </c>
      <c r="J58" s="45"/>
      <c r="K58" s="43"/>
    </row>
    <row r="59" spans="1:11" ht="13.2" x14ac:dyDescent="0.25">
      <c r="A59" s="37">
        <v>45634</v>
      </c>
      <c r="B59" s="38" t="s">
        <v>54</v>
      </c>
      <c r="C59" s="39" t="s">
        <v>167</v>
      </c>
      <c r="D59" s="38" t="s">
        <v>171</v>
      </c>
      <c r="E59" s="40" t="s">
        <v>64</v>
      </c>
      <c r="F59" s="40"/>
      <c r="G59" s="41">
        <v>4</v>
      </c>
      <c r="H59" s="41">
        <v>4</v>
      </c>
      <c r="I59" s="41">
        <f t="shared" si="2"/>
        <v>0</v>
      </c>
      <c r="J59" s="45"/>
      <c r="K59" s="43"/>
    </row>
    <row r="60" spans="1:11" ht="13.2" x14ac:dyDescent="0.25">
      <c r="A60" s="13"/>
      <c r="B60" s="15"/>
      <c r="C60" s="15"/>
      <c r="D60" s="15"/>
      <c r="E60" s="15" t="s">
        <v>18</v>
      </c>
      <c r="F60" s="15"/>
      <c r="G60" s="18">
        <f t="shared" ref="G60:H60" si="3">SUM(G43:G59)</f>
        <v>35</v>
      </c>
      <c r="H60" s="18">
        <f t="shared" si="3"/>
        <v>35</v>
      </c>
      <c r="I60" s="18">
        <f t="shared" si="2"/>
        <v>0</v>
      </c>
      <c r="J60" s="19"/>
      <c r="K60" s="46"/>
    </row>
    <row r="61" spans="1:11" ht="18.75" customHeight="1" x14ac:dyDescent="0.25">
      <c r="A61" s="71" t="s">
        <v>22</v>
      </c>
      <c r="B61" s="65"/>
      <c r="C61" s="65"/>
      <c r="D61" s="65"/>
      <c r="E61" s="65"/>
      <c r="F61" s="65"/>
      <c r="G61" s="65"/>
      <c r="H61" s="65"/>
      <c r="I61" s="65"/>
      <c r="J61" s="65"/>
      <c r="K61" s="66"/>
    </row>
    <row r="62" spans="1:11" ht="13.2" x14ac:dyDescent="0.25">
      <c r="A62" s="23" t="s">
        <v>12</v>
      </c>
      <c r="B62" s="73" t="s">
        <v>13</v>
      </c>
      <c r="C62" s="65"/>
      <c r="D62" s="65"/>
      <c r="E62" s="65"/>
      <c r="F62" s="65"/>
      <c r="G62" s="65"/>
      <c r="H62" s="65"/>
      <c r="I62" s="65"/>
      <c r="J62" s="65"/>
      <c r="K62" s="66"/>
    </row>
    <row r="63" spans="1:11" ht="27.75" customHeight="1" x14ac:dyDescent="0.25">
      <c r="A63" s="24" t="s">
        <v>14</v>
      </c>
      <c r="B63" s="73" t="s">
        <v>15</v>
      </c>
      <c r="C63" s="65"/>
      <c r="D63" s="65"/>
      <c r="E63" s="65"/>
      <c r="F63" s="65"/>
      <c r="G63" s="65"/>
      <c r="H63" s="65"/>
      <c r="I63" s="65"/>
      <c r="J63" s="65"/>
      <c r="K63" s="66"/>
    </row>
    <row r="64" spans="1:11" ht="13.2" x14ac:dyDescent="0.25">
      <c r="A64" s="37">
        <v>45635</v>
      </c>
      <c r="B64" s="38" t="s">
        <v>54</v>
      </c>
      <c r="C64" s="39" t="s">
        <v>79</v>
      </c>
      <c r="D64" s="38" t="s">
        <v>181</v>
      </c>
      <c r="E64" s="40" t="s">
        <v>66</v>
      </c>
      <c r="F64" s="40" t="s">
        <v>230</v>
      </c>
      <c r="G64" s="41">
        <v>2</v>
      </c>
      <c r="H64" s="41">
        <v>2</v>
      </c>
      <c r="I64" s="41">
        <f t="shared" ref="I64:I78" si="4">H64-G64</f>
        <v>0</v>
      </c>
      <c r="J64" s="45"/>
      <c r="K64" s="43"/>
    </row>
    <row r="65" spans="1:11" ht="13.2" x14ac:dyDescent="0.25">
      <c r="A65" s="37">
        <v>45635</v>
      </c>
      <c r="B65" s="38" t="s">
        <v>54</v>
      </c>
      <c r="C65" s="39" t="s">
        <v>71</v>
      </c>
      <c r="D65" s="38" t="s">
        <v>182</v>
      </c>
      <c r="E65" s="40" t="s">
        <v>66</v>
      </c>
      <c r="F65" s="40" t="s">
        <v>230</v>
      </c>
      <c r="G65" s="41">
        <v>2</v>
      </c>
      <c r="H65" s="41">
        <v>2</v>
      </c>
      <c r="I65" s="41">
        <f t="shared" si="4"/>
        <v>0</v>
      </c>
      <c r="J65" s="53" t="s">
        <v>71</v>
      </c>
      <c r="K65" s="43" t="s">
        <v>215</v>
      </c>
    </row>
    <row r="66" spans="1:11" ht="13.2" x14ac:dyDescent="0.25">
      <c r="A66" s="37">
        <v>45635</v>
      </c>
      <c r="B66" s="38" t="s">
        <v>54</v>
      </c>
      <c r="C66" s="39" t="s">
        <v>183</v>
      </c>
      <c r="D66" s="38"/>
      <c r="E66" s="40" t="s">
        <v>55</v>
      </c>
      <c r="F66" s="40" t="s">
        <v>230</v>
      </c>
      <c r="G66" s="41">
        <v>1</v>
      </c>
      <c r="H66" s="41">
        <v>1</v>
      </c>
      <c r="I66" s="41">
        <f t="shared" si="4"/>
        <v>0</v>
      </c>
      <c r="J66" s="53" t="s">
        <v>225</v>
      </c>
      <c r="K66" s="43" t="s">
        <v>216</v>
      </c>
    </row>
    <row r="67" spans="1:11" ht="13.2" x14ac:dyDescent="0.25">
      <c r="A67" s="37">
        <v>45636</v>
      </c>
      <c r="B67" s="38" t="s">
        <v>54</v>
      </c>
      <c r="C67" s="39" t="s">
        <v>105</v>
      </c>
      <c r="D67" s="38" t="s">
        <v>184</v>
      </c>
      <c r="E67" s="40" t="s">
        <v>49</v>
      </c>
      <c r="F67" s="40" t="s">
        <v>230</v>
      </c>
      <c r="G67" s="41">
        <v>2</v>
      </c>
      <c r="H67" s="41">
        <v>2</v>
      </c>
      <c r="I67" s="41">
        <f t="shared" si="4"/>
        <v>0</v>
      </c>
      <c r="J67" s="53" t="s">
        <v>227</v>
      </c>
      <c r="K67" s="43" t="s">
        <v>217</v>
      </c>
    </row>
    <row r="68" spans="1:11" ht="13.2" x14ac:dyDescent="0.25">
      <c r="A68" s="37">
        <v>45637</v>
      </c>
      <c r="B68" s="38" t="s">
        <v>54</v>
      </c>
      <c r="C68" s="39" t="s">
        <v>185</v>
      </c>
      <c r="D68" s="38" t="s">
        <v>186</v>
      </c>
      <c r="E68" s="40" t="s">
        <v>66</v>
      </c>
      <c r="F68" s="40" t="s">
        <v>230</v>
      </c>
      <c r="G68" s="41">
        <v>3</v>
      </c>
      <c r="H68" s="41">
        <v>4</v>
      </c>
      <c r="I68" s="41">
        <f t="shared" si="4"/>
        <v>1</v>
      </c>
      <c r="J68" s="53" t="s">
        <v>187</v>
      </c>
      <c r="K68" s="43" t="s">
        <v>218</v>
      </c>
    </row>
    <row r="69" spans="1:11" ht="13.2" x14ac:dyDescent="0.25">
      <c r="A69" s="37">
        <v>45637</v>
      </c>
      <c r="B69" s="38" t="s">
        <v>54</v>
      </c>
      <c r="C69" s="39" t="s">
        <v>91</v>
      </c>
      <c r="D69" s="38" t="s">
        <v>188</v>
      </c>
      <c r="E69" s="40" t="s">
        <v>55</v>
      </c>
      <c r="F69" s="40" t="s">
        <v>234</v>
      </c>
      <c r="G69" s="41">
        <v>2</v>
      </c>
      <c r="H69" s="41">
        <v>2</v>
      </c>
      <c r="I69" s="41">
        <f t="shared" si="4"/>
        <v>0</v>
      </c>
      <c r="J69" s="53" t="s">
        <v>91</v>
      </c>
      <c r="K69" s="43" t="s">
        <v>219</v>
      </c>
    </row>
    <row r="70" spans="1:11" ht="13.2" x14ac:dyDescent="0.25">
      <c r="A70" s="37">
        <v>45638</v>
      </c>
      <c r="B70" s="38" t="s">
        <v>54</v>
      </c>
      <c r="C70" s="39" t="s">
        <v>79</v>
      </c>
      <c r="D70" s="38" t="s">
        <v>189</v>
      </c>
      <c r="E70" s="40" t="s">
        <v>66</v>
      </c>
      <c r="F70" s="40" t="s">
        <v>230</v>
      </c>
      <c r="G70" s="41">
        <v>3</v>
      </c>
      <c r="H70" s="41">
        <v>3</v>
      </c>
      <c r="I70" s="41">
        <f t="shared" si="4"/>
        <v>0</v>
      </c>
      <c r="J70" s="45"/>
      <c r="K70" s="43" t="s">
        <v>220</v>
      </c>
    </row>
    <row r="71" spans="1:11" ht="13.2" x14ac:dyDescent="0.25">
      <c r="A71" s="37">
        <v>45638</v>
      </c>
      <c r="B71" s="38" t="s">
        <v>54</v>
      </c>
      <c r="C71" s="39" t="s">
        <v>71</v>
      </c>
      <c r="D71" s="38" t="s">
        <v>190</v>
      </c>
      <c r="E71" s="40" t="s">
        <v>66</v>
      </c>
      <c r="F71" s="40" t="s">
        <v>230</v>
      </c>
      <c r="G71" s="41">
        <v>1</v>
      </c>
      <c r="H71" s="41">
        <v>1</v>
      </c>
      <c r="I71" s="41">
        <f t="shared" si="4"/>
        <v>0</v>
      </c>
      <c r="J71" s="45"/>
      <c r="K71" s="43" t="s">
        <v>221</v>
      </c>
    </row>
    <row r="72" spans="1:11" ht="13.2" x14ac:dyDescent="0.25">
      <c r="A72" s="37">
        <v>45638</v>
      </c>
      <c r="B72" s="38" t="s">
        <v>54</v>
      </c>
      <c r="C72" s="39" t="s">
        <v>115</v>
      </c>
      <c r="D72" s="38" t="s">
        <v>191</v>
      </c>
      <c r="E72" s="40" t="s">
        <v>55</v>
      </c>
      <c r="F72" s="40" t="s">
        <v>234</v>
      </c>
      <c r="G72" s="41">
        <v>1</v>
      </c>
      <c r="H72" s="41">
        <v>1</v>
      </c>
      <c r="I72" s="41">
        <f>H72-G73</f>
        <v>-2</v>
      </c>
      <c r="J72" s="53" t="s">
        <v>226</v>
      </c>
      <c r="K72" s="43" t="s">
        <v>222</v>
      </c>
    </row>
    <row r="73" spans="1:11" ht="13.2" x14ac:dyDescent="0.25">
      <c r="A73" s="37">
        <v>45639</v>
      </c>
      <c r="B73" s="38" t="s">
        <v>54</v>
      </c>
      <c r="C73" s="39" t="s">
        <v>105</v>
      </c>
      <c r="D73" s="38" t="s">
        <v>192</v>
      </c>
      <c r="E73" s="40" t="s">
        <v>49</v>
      </c>
      <c r="F73" s="40" t="s">
        <v>230</v>
      </c>
      <c r="G73" s="41">
        <v>3</v>
      </c>
      <c r="H73" s="41">
        <v>3</v>
      </c>
      <c r="I73" s="41"/>
      <c r="J73" s="53" t="s">
        <v>227</v>
      </c>
      <c r="K73" s="43" t="s">
        <v>223</v>
      </c>
    </row>
    <row r="74" spans="1:11" ht="13.2" x14ac:dyDescent="0.25">
      <c r="A74" s="37">
        <v>45640</v>
      </c>
      <c r="B74" s="38" t="s">
        <v>54</v>
      </c>
      <c r="C74" s="39" t="s">
        <v>193</v>
      </c>
      <c r="D74" s="38" t="s">
        <v>271</v>
      </c>
      <c r="E74" s="40" t="s">
        <v>66</v>
      </c>
      <c r="F74" s="40" t="s">
        <v>230</v>
      </c>
      <c r="G74" s="41">
        <v>2</v>
      </c>
      <c r="H74" s="41">
        <v>2</v>
      </c>
      <c r="I74" s="41">
        <f t="shared" si="4"/>
        <v>0</v>
      </c>
      <c r="J74" s="45"/>
      <c r="K74" s="43"/>
    </row>
    <row r="75" spans="1:11" ht="13.2" x14ac:dyDescent="0.25">
      <c r="A75" s="37">
        <v>45640</v>
      </c>
      <c r="B75" s="38" t="s">
        <v>54</v>
      </c>
      <c r="C75" s="39" t="s">
        <v>194</v>
      </c>
      <c r="D75" s="38"/>
      <c r="E75" s="40" t="s">
        <v>49</v>
      </c>
      <c r="F75" s="40" t="s">
        <v>230</v>
      </c>
      <c r="G75" s="41">
        <v>3</v>
      </c>
      <c r="H75" s="41">
        <v>3</v>
      </c>
      <c r="I75" s="41">
        <f t="shared" si="4"/>
        <v>0</v>
      </c>
      <c r="J75" s="45"/>
      <c r="K75" s="43" t="s">
        <v>224</v>
      </c>
    </row>
    <row r="76" spans="1:11" ht="13.2" x14ac:dyDescent="0.25">
      <c r="A76" s="37">
        <v>45641</v>
      </c>
      <c r="B76" s="38" t="s">
        <v>54</v>
      </c>
      <c r="C76" s="39" t="s">
        <v>105</v>
      </c>
      <c r="D76" s="38" t="s">
        <v>197</v>
      </c>
      <c r="E76" s="40" t="s">
        <v>49</v>
      </c>
      <c r="F76" s="40" t="s">
        <v>230</v>
      </c>
      <c r="G76" s="41">
        <v>2</v>
      </c>
      <c r="H76" s="41">
        <v>2</v>
      </c>
      <c r="I76" s="41"/>
      <c r="J76" s="53" t="s">
        <v>227</v>
      </c>
      <c r="K76" s="43"/>
    </row>
    <row r="77" spans="1:11" ht="13.2" x14ac:dyDescent="0.25">
      <c r="A77" s="37">
        <v>45641</v>
      </c>
      <c r="B77" s="38" t="s">
        <v>54</v>
      </c>
      <c r="C77" s="39" t="s">
        <v>195</v>
      </c>
      <c r="D77" s="38" t="s">
        <v>196</v>
      </c>
      <c r="E77" s="40" t="s">
        <v>66</v>
      </c>
      <c r="F77" s="40" t="s">
        <v>230</v>
      </c>
      <c r="G77" s="41">
        <v>4</v>
      </c>
      <c r="H77" s="41">
        <v>4</v>
      </c>
      <c r="I77" s="41">
        <f t="shared" si="4"/>
        <v>0</v>
      </c>
      <c r="J77" s="45"/>
      <c r="K77" s="43"/>
    </row>
    <row r="78" spans="1:11" ht="13.2" x14ac:dyDescent="0.25">
      <c r="A78" s="13"/>
      <c r="B78" s="15"/>
      <c r="C78" s="15"/>
      <c r="D78" s="15"/>
      <c r="E78" s="15" t="s">
        <v>18</v>
      </c>
      <c r="F78" s="15"/>
      <c r="G78" s="18">
        <f t="shared" ref="G78:H78" si="5">SUM(G64:G77)</f>
        <v>31</v>
      </c>
      <c r="H78" s="18">
        <f t="shared" si="5"/>
        <v>32</v>
      </c>
      <c r="I78" s="18">
        <f t="shared" si="4"/>
        <v>1</v>
      </c>
      <c r="J78" s="19"/>
      <c r="K78" s="46"/>
    </row>
    <row r="79" spans="1:11" ht="18.75" customHeight="1" x14ac:dyDescent="0.25">
      <c r="A79" s="76" t="s">
        <v>23</v>
      </c>
      <c r="B79" s="65"/>
      <c r="C79" s="65"/>
      <c r="D79" s="65"/>
      <c r="E79" s="65"/>
      <c r="F79" s="65"/>
      <c r="G79" s="65"/>
      <c r="H79" s="65"/>
      <c r="I79" s="65"/>
      <c r="J79" s="65"/>
      <c r="K79" s="66"/>
    </row>
    <row r="80" spans="1:11" ht="13.2" x14ac:dyDescent="0.25">
      <c r="A80" s="25" t="s">
        <v>12</v>
      </c>
      <c r="B80" s="77" t="s">
        <v>13</v>
      </c>
      <c r="C80" s="65"/>
      <c r="D80" s="65"/>
      <c r="E80" s="65"/>
      <c r="F80" s="65"/>
      <c r="G80" s="65"/>
      <c r="H80" s="65"/>
      <c r="I80" s="65"/>
      <c r="J80" s="65"/>
      <c r="K80" s="66"/>
    </row>
    <row r="81" spans="1:11" ht="27.75" customHeight="1" x14ac:dyDescent="0.25">
      <c r="A81" s="26" t="s">
        <v>14</v>
      </c>
      <c r="B81" s="77" t="s">
        <v>15</v>
      </c>
      <c r="C81" s="65"/>
      <c r="D81" s="65"/>
      <c r="E81" s="65"/>
      <c r="F81" s="65"/>
      <c r="G81" s="65"/>
      <c r="H81" s="65"/>
      <c r="I81" s="65"/>
      <c r="J81" s="65"/>
      <c r="K81" s="66"/>
    </row>
    <row r="82" spans="1:11" ht="13.2" x14ac:dyDescent="0.25">
      <c r="A82" s="37">
        <v>45642</v>
      </c>
      <c r="B82" s="38" t="s">
        <v>54</v>
      </c>
      <c r="C82" s="39" t="s">
        <v>79</v>
      </c>
      <c r="D82" s="38" t="s">
        <v>198</v>
      </c>
      <c r="E82" s="40" t="s">
        <v>66</v>
      </c>
      <c r="F82" s="40" t="s">
        <v>230</v>
      </c>
      <c r="G82" s="41">
        <v>2</v>
      </c>
      <c r="H82" s="41">
        <v>3</v>
      </c>
      <c r="I82" s="41">
        <f t="shared" ref="I82:I96" si="6">H82-G82</f>
        <v>1</v>
      </c>
      <c r="J82" s="45"/>
      <c r="K82" s="43" t="s">
        <v>253</v>
      </c>
    </row>
    <row r="83" spans="1:11" ht="13.2" x14ac:dyDescent="0.25">
      <c r="A83" s="37">
        <v>45642</v>
      </c>
      <c r="B83" s="38" t="s">
        <v>54</v>
      </c>
      <c r="C83" s="39" t="s">
        <v>71</v>
      </c>
      <c r="D83" s="38" t="s">
        <v>199</v>
      </c>
      <c r="E83" s="40" t="s">
        <v>66</v>
      </c>
      <c r="F83" s="40" t="s">
        <v>230</v>
      </c>
      <c r="G83" s="41">
        <v>1</v>
      </c>
      <c r="H83" s="41">
        <v>1</v>
      </c>
      <c r="I83" s="41">
        <f t="shared" si="6"/>
        <v>0</v>
      </c>
      <c r="J83" s="45"/>
      <c r="K83" s="43" t="s">
        <v>254</v>
      </c>
    </row>
    <row r="84" spans="1:11" ht="13.2" x14ac:dyDescent="0.25">
      <c r="A84" s="37">
        <v>45642</v>
      </c>
      <c r="B84" s="38" t="s">
        <v>54</v>
      </c>
      <c r="C84" s="39" t="s">
        <v>183</v>
      </c>
      <c r="D84" s="38" t="s">
        <v>200</v>
      </c>
      <c r="E84" s="40" t="s">
        <v>55</v>
      </c>
      <c r="F84" s="40" t="s">
        <v>230</v>
      </c>
      <c r="G84" s="41">
        <v>2</v>
      </c>
      <c r="H84" s="41">
        <v>2</v>
      </c>
      <c r="I84" s="41">
        <f t="shared" si="6"/>
        <v>0</v>
      </c>
      <c r="J84" s="53" t="s">
        <v>225</v>
      </c>
      <c r="K84" s="43" t="s">
        <v>255</v>
      </c>
    </row>
    <row r="85" spans="1:11" ht="13.2" x14ac:dyDescent="0.25">
      <c r="A85" s="37">
        <v>45643</v>
      </c>
      <c r="B85" s="38" t="s">
        <v>54</v>
      </c>
      <c r="C85" s="39" t="s">
        <v>105</v>
      </c>
      <c r="D85" s="38" t="s">
        <v>201</v>
      </c>
      <c r="E85" s="40" t="s">
        <v>49</v>
      </c>
      <c r="F85" s="40" t="s">
        <v>230</v>
      </c>
      <c r="G85" s="41">
        <v>1</v>
      </c>
      <c r="H85" s="41">
        <v>3</v>
      </c>
      <c r="I85" s="41">
        <f t="shared" si="6"/>
        <v>2</v>
      </c>
      <c r="J85" s="53" t="s">
        <v>227</v>
      </c>
      <c r="K85" s="43" t="s">
        <v>256</v>
      </c>
    </row>
    <row r="86" spans="1:11" ht="13.2" x14ac:dyDescent="0.25">
      <c r="A86" s="37">
        <v>45644</v>
      </c>
      <c r="B86" s="38" t="s">
        <v>54</v>
      </c>
      <c r="C86" s="39" t="s">
        <v>202</v>
      </c>
      <c r="D86" s="38" t="s">
        <v>203</v>
      </c>
      <c r="E86" s="40" t="s">
        <v>66</v>
      </c>
      <c r="F86" s="40" t="s">
        <v>234</v>
      </c>
      <c r="G86" s="41">
        <v>4</v>
      </c>
      <c r="H86" s="41">
        <v>4</v>
      </c>
      <c r="I86" s="41">
        <f t="shared" si="6"/>
        <v>0</v>
      </c>
      <c r="J86" s="53" t="s">
        <v>204</v>
      </c>
      <c r="K86" s="43" t="s">
        <v>257</v>
      </c>
    </row>
    <row r="87" spans="1:11" ht="13.2" x14ac:dyDescent="0.25">
      <c r="A87" s="37">
        <v>45644</v>
      </c>
      <c r="B87" s="38" t="s">
        <v>54</v>
      </c>
      <c r="C87" s="39" t="s">
        <v>91</v>
      </c>
      <c r="D87" s="38" t="s">
        <v>205</v>
      </c>
      <c r="E87" s="40" t="s">
        <v>55</v>
      </c>
      <c r="F87" s="40" t="s">
        <v>234</v>
      </c>
      <c r="G87" s="41">
        <v>2</v>
      </c>
      <c r="H87" s="41">
        <v>2</v>
      </c>
      <c r="I87" s="41">
        <f t="shared" si="6"/>
        <v>0</v>
      </c>
      <c r="J87" s="53" t="s">
        <v>91</v>
      </c>
      <c r="K87" t="s">
        <v>258</v>
      </c>
    </row>
    <row r="88" spans="1:11" ht="13.2" x14ac:dyDescent="0.25">
      <c r="A88" s="37">
        <v>45644</v>
      </c>
      <c r="B88" s="38" t="s">
        <v>54</v>
      </c>
      <c r="C88" s="39" t="s">
        <v>206</v>
      </c>
      <c r="D88" s="38"/>
      <c r="E88" s="40" t="s">
        <v>66</v>
      </c>
      <c r="F88" s="40" t="s">
        <v>234</v>
      </c>
      <c r="G88" s="41">
        <v>2</v>
      </c>
      <c r="H88" s="41">
        <v>2</v>
      </c>
      <c r="I88" s="41">
        <f t="shared" si="6"/>
        <v>0</v>
      </c>
      <c r="J88" s="53" t="s">
        <v>207</v>
      </c>
      <c r="K88" s="43"/>
    </row>
    <row r="89" spans="1:11" ht="13.2" x14ac:dyDescent="0.25">
      <c r="A89" s="37">
        <v>45645</v>
      </c>
      <c r="B89" s="38" t="s">
        <v>54</v>
      </c>
      <c r="C89" s="39" t="s">
        <v>79</v>
      </c>
      <c r="D89" s="38" t="s">
        <v>208</v>
      </c>
      <c r="E89" s="40" t="s">
        <v>66</v>
      </c>
      <c r="F89" s="40" t="s">
        <v>230</v>
      </c>
      <c r="G89" s="41">
        <v>4</v>
      </c>
      <c r="H89" s="41">
        <v>4</v>
      </c>
      <c r="I89" s="41">
        <f t="shared" si="6"/>
        <v>0</v>
      </c>
      <c r="K89" s="43"/>
    </row>
    <row r="90" spans="1:11" ht="13.2" x14ac:dyDescent="0.25">
      <c r="A90" s="37">
        <v>45645</v>
      </c>
      <c r="B90" s="38" t="s">
        <v>54</v>
      </c>
      <c r="C90" s="39" t="s">
        <v>71</v>
      </c>
      <c r="D90" s="38" t="s">
        <v>210</v>
      </c>
      <c r="E90" s="40" t="s">
        <v>66</v>
      </c>
      <c r="F90" s="40" t="s">
        <v>230</v>
      </c>
      <c r="G90" s="41">
        <v>1</v>
      </c>
      <c r="H90" s="41">
        <v>1</v>
      </c>
      <c r="I90" s="41">
        <f t="shared" si="6"/>
        <v>0</v>
      </c>
      <c r="J90" s="53" t="s">
        <v>209</v>
      </c>
      <c r="K90" s="43"/>
    </row>
    <row r="91" spans="1:11" ht="13.2" x14ac:dyDescent="0.25">
      <c r="A91" s="37">
        <v>45645</v>
      </c>
      <c r="B91" s="38" t="s">
        <v>54</v>
      </c>
      <c r="C91" s="39" t="s">
        <v>115</v>
      </c>
      <c r="D91" s="38" t="s">
        <v>211</v>
      </c>
      <c r="E91" s="40" t="s">
        <v>55</v>
      </c>
      <c r="F91" s="40" t="s">
        <v>230</v>
      </c>
      <c r="G91" s="41">
        <v>1</v>
      </c>
      <c r="H91" s="41">
        <v>1</v>
      </c>
      <c r="I91" s="41">
        <f t="shared" si="6"/>
        <v>0</v>
      </c>
      <c r="J91" s="53" t="s">
        <v>228</v>
      </c>
      <c r="K91" s="43"/>
    </row>
    <row r="92" spans="1:11" ht="13.2" x14ac:dyDescent="0.25">
      <c r="A92" s="37">
        <v>45646</v>
      </c>
      <c r="B92" s="38" t="s">
        <v>54</v>
      </c>
      <c r="C92" s="39" t="s">
        <v>105</v>
      </c>
      <c r="D92" s="38" t="s">
        <v>201</v>
      </c>
      <c r="E92" s="40" t="s">
        <v>49</v>
      </c>
      <c r="F92" s="40" t="s">
        <v>230</v>
      </c>
      <c r="G92" s="41">
        <v>2</v>
      </c>
      <c r="H92" s="41">
        <v>4</v>
      </c>
      <c r="I92" s="41">
        <f t="shared" si="6"/>
        <v>2</v>
      </c>
      <c r="J92" s="53" t="s">
        <v>227</v>
      </c>
      <c r="K92" s="43" t="s">
        <v>259</v>
      </c>
    </row>
    <row r="93" spans="1:11" ht="13.2" x14ac:dyDescent="0.25">
      <c r="A93" s="37">
        <v>45647</v>
      </c>
      <c r="B93" s="38" t="s">
        <v>54</v>
      </c>
      <c r="C93" s="39" t="s">
        <v>212</v>
      </c>
      <c r="D93" s="38" t="s">
        <v>213</v>
      </c>
      <c r="E93" s="40" t="s">
        <v>66</v>
      </c>
      <c r="F93" s="40" t="s">
        <v>230</v>
      </c>
      <c r="G93" s="41">
        <v>3</v>
      </c>
      <c r="H93" s="41">
        <v>3</v>
      </c>
      <c r="I93" s="41">
        <v>0</v>
      </c>
      <c r="J93" s="45"/>
      <c r="K93" s="43"/>
    </row>
    <row r="94" spans="1:11" ht="13.2" x14ac:dyDescent="0.25">
      <c r="A94" s="37">
        <v>45647</v>
      </c>
      <c r="B94" s="38" t="s">
        <v>54</v>
      </c>
      <c r="C94" s="39" t="s">
        <v>195</v>
      </c>
      <c r="D94" s="38" t="s">
        <v>214</v>
      </c>
      <c r="E94" s="40" t="s">
        <v>66</v>
      </c>
      <c r="F94" s="40" t="s">
        <v>235</v>
      </c>
      <c r="G94" s="41">
        <v>2</v>
      </c>
      <c r="H94" s="41">
        <v>2</v>
      </c>
      <c r="J94" s="45"/>
      <c r="K94" s="43" t="s">
        <v>260</v>
      </c>
    </row>
    <row r="95" spans="1:11" ht="13.2" x14ac:dyDescent="0.25">
      <c r="A95" s="37">
        <v>45648</v>
      </c>
      <c r="B95" s="38" t="s">
        <v>54</v>
      </c>
      <c r="C95" s="39" t="s">
        <v>118</v>
      </c>
      <c r="D95" s="38"/>
      <c r="E95" s="40" t="s">
        <v>63</v>
      </c>
      <c r="F95" s="40"/>
      <c r="G95" s="41">
        <v>1</v>
      </c>
      <c r="H95" s="41">
        <v>1</v>
      </c>
      <c r="I95" s="41">
        <f t="shared" si="6"/>
        <v>0</v>
      </c>
      <c r="J95" s="53" t="s">
        <v>270</v>
      </c>
      <c r="K95" s="43"/>
    </row>
    <row r="96" spans="1:11" ht="13.2" x14ac:dyDescent="0.25">
      <c r="A96" s="13"/>
      <c r="B96" s="15"/>
      <c r="C96" s="15"/>
      <c r="D96" s="15"/>
      <c r="E96" s="15" t="s">
        <v>18</v>
      </c>
      <c r="F96" s="15"/>
      <c r="G96" s="18">
        <f t="shared" ref="G96:H96" si="7">SUM(G82:G95)</f>
        <v>28</v>
      </c>
      <c r="H96" s="18">
        <f t="shared" si="7"/>
        <v>33</v>
      </c>
      <c r="I96" s="18">
        <f t="shared" si="6"/>
        <v>5</v>
      </c>
      <c r="J96" s="19"/>
      <c r="K96" s="46"/>
    </row>
    <row r="97" spans="1:11" ht="18.75" customHeight="1" x14ac:dyDescent="0.25">
      <c r="A97" s="78" t="s">
        <v>24</v>
      </c>
      <c r="B97" s="65"/>
      <c r="C97" s="65"/>
      <c r="D97" s="65"/>
      <c r="E97" s="65"/>
      <c r="F97" s="65"/>
      <c r="G97" s="65"/>
      <c r="H97" s="65"/>
      <c r="I97" s="65"/>
      <c r="J97" s="65"/>
      <c r="K97" s="66"/>
    </row>
    <row r="98" spans="1:11" ht="13.2" x14ac:dyDescent="0.25">
      <c r="A98" s="27" t="s">
        <v>12</v>
      </c>
      <c r="B98" s="74" t="s">
        <v>13</v>
      </c>
      <c r="C98" s="65"/>
      <c r="D98" s="65"/>
      <c r="E98" s="65"/>
      <c r="F98" s="65"/>
      <c r="G98" s="65"/>
      <c r="H98" s="65"/>
      <c r="I98" s="65"/>
      <c r="J98" s="65"/>
      <c r="K98" s="66"/>
    </row>
    <row r="99" spans="1:11" ht="27.75" customHeight="1" x14ac:dyDescent="0.25">
      <c r="A99" s="28" t="s">
        <v>14</v>
      </c>
      <c r="B99" s="74" t="s">
        <v>15</v>
      </c>
      <c r="C99" s="65"/>
      <c r="D99" s="65"/>
      <c r="E99" s="65"/>
      <c r="F99" s="65"/>
      <c r="G99" s="65"/>
      <c r="H99" s="65"/>
      <c r="I99" s="65"/>
      <c r="J99" s="65"/>
      <c r="K99" s="66"/>
    </row>
    <row r="100" spans="1:11" ht="13.2" x14ac:dyDescent="0.25">
      <c r="A100" s="37">
        <v>45663</v>
      </c>
      <c r="B100" s="38" t="s">
        <v>54</v>
      </c>
      <c r="C100" s="39" t="s">
        <v>71</v>
      </c>
      <c r="D100" s="38" t="s">
        <v>236</v>
      </c>
      <c r="E100" s="40" t="s">
        <v>66</v>
      </c>
      <c r="F100" s="40" t="s">
        <v>230</v>
      </c>
      <c r="G100" s="41">
        <v>4</v>
      </c>
      <c r="H100" s="41">
        <v>4</v>
      </c>
      <c r="I100" s="41">
        <f t="shared" ref="I100:I113" si="8">H100-G100</f>
        <v>0</v>
      </c>
      <c r="J100" s="53" t="s">
        <v>71</v>
      </c>
      <c r="K100" s="43"/>
    </row>
    <row r="101" spans="1:11" ht="13.2" x14ac:dyDescent="0.25">
      <c r="A101" s="37">
        <v>45664</v>
      </c>
      <c r="B101" s="38" t="s">
        <v>54</v>
      </c>
      <c r="C101" s="39" t="s">
        <v>237</v>
      </c>
      <c r="D101" s="38" t="s">
        <v>238</v>
      </c>
      <c r="E101" s="40" t="s">
        <v>49</v>
      </c>
      <c r="F101" s="40" t="s">
        <v>230</v>
      </c>
      <c r="G101" s="41">
        <v>3</v>
      </c>
      <c r="H101" s="41">
        <v>3</v>
      </c>
      <c r="I101" s="41">
        <f t="shared" si="8"/>
        <v>0</v>
      </c>
      <c r="J101" s="53" t="s">
        <v>174</v>
      </c>
      <c r="K101" s="43" t="s">
        <v>261</v>
      </c>
    </row>
    <row r="102" spans="1:11" ht="13.2" x14ac:dyDescent="0.25">
      <c r="A102" s="37">
        <v>45665</v>
      </c>
      <c r="B102" s="38" t="s">
        <v>54</v>
      </c>
      <c r="C102" s="39" t="s">
        <v>206</v>
      </c>
      <c r="D102" s="38" t="s">
        <v>239</v>
      </c>
      <c r="E102" s="40" t="s">
        <v>66</v>
      </c>
      <c r="F102" s="40" t="s">
        <v>234</v>
      </c>
      <c r="G102" s="41">
        <v>5</v>
      </c>
      <c r="H102" s="41">
        <v>5</v>
      </c>
      <c r="I102" s="41">
        <f t="shared" si="8"/>
        <v>0</v>
      </c>
      <c r="J102" s="53" t="s">
        <v>90</v>
      </c>
      <c r="K102" s="43" t="s">
        <v>262</v>
      </c>
    </row>
    <row r="103" spans="1:11" ht="13.2" x14ac:dyDescent="0.25">
      <c r="A103" s="37">
        <v>45665</v>
      </c>
      <c r="B103" s="38" t="s">
        <v>54</v>
      </c>
      <c r="C103" s="39" t="s">
        <v>90</v>
      </c>
      <c r="D103" s="38" t="s">
        <v>240</v>
      </c>
      <c r="E103" s="40" t="s">
        <v>55</v>
      </c>
      <c r="F103" s="40" t="s">
        <v>234</v>
      </c>
      <c r="G103" s="41">
        <v>2</v>
      </c>
      <c r="H103" s="41">
        <v>2</v>
      </c>
      <c r="I103" s="41">
        <f t="shared" si="8"/>
        <v>0</v>
      </c>
      <c r="J103" s="53" t="s">
        <v>268</v>
      </c>
      <c r="K103" s="43"/>
    </row>
    <row r="104" spans="1:11" ht="13.2" x14ac:dyDescent="0.25">
      <c r="A104" s="37">
        <v>45665</v>
      </c>
      <c r="B104" s="38" t="s">
        <v>54</v>
      </c>
      <c r="C104" s="39" t="s">
        <v>90</v>
      </c>
      <c r="D104" s="38" t="s">
        <v>241</v>
      </c>
      <c r="E104" s="40" t="s">
        <v>55</v>
      </c>
      <c r="F104" s="40" t="s">
        <v>242</v>
      </c>
      <c r="G104" s="41">
        <v>2</v>
      </c>
      <c r="H104" s="41">
        <v>2</v>
      </c>
      <c r="I104" s="41">
        <f t="shared" si="8"/>
        <v>0</v>
      </c>
      <c r="J104" s="53" t="s">
        <v>269</v>
      </c>
      <c r="K104" s="43" t="s">
        <v>263</v>
      </c>
    </row>
    <row r="105" spans="1:11" ht="13.2" x14ac:dyDescent="0.25">
      <c r="A105" s="37">
        <v>45666</v>
      </c>
      <c r="B105" s="38" t="s">
        <v>54</v>
      </c>
      <c r="C105" s="39" t="s">
        <v>243</v>
      </c>
      <c r="D105" s="38" t="s">
        <v>71</v>
      </c>
      <c r="E105" s="40" t="s">
        <v>66</v>
      </c>
      <c r="F105" s="40" t="s">
        <v>230</v>
      </c>
      <c r="G105" s="41">
        <v>2</v>
      </c>
      <c r="H105" s="41">
        <v>2</v>
      </c>
      <c r="I105" s="41">
        <f t="shared" si="8"/>
        <v>0</v>
      </c>
      <c r="J105" s="53" t="s">
        <v>244</v>
      </c>
      <c r="K105" s="43" t="s">
        <v>245</v>
      </c>
    </row>
    <row r="106" spans="1:11" ht="13.2" x14ac:dyDescent="0.25">
      <c r="A106" s="37">
        <v>45667</v>
      </c>
      <c r="B106" s="38" t="s">
        <v>54</v>
      </c>
      <c r="C106" s="39" t="s">
        <v>206</v>
      </c>
      <c r="D106" s="38" t="s">
        <v>246</v>
      </c>
      <c r="E106" s="40" t="s">
        <v>66</v>
      </c>
      <c r="F106" s="40" t="s">
        <v>234</v>
      </c>
      <c r="G106" s="41">
        <v>3</v>
      </c>
      <c r="H106" s="41">
        <v>3</v>
      </c>
      <c r="I106" s="41">
        <f t="shared" si="8"/>
        <v>0</v>
      </c>
      <c r="J106" s="53" t="s">
        <v>247</v>
      </c>
      <c r="K106" s="43"/>
    </row>
    <row r="107" spans="1:11" ht="13.2" x14ac:dyDescent="0.25">
      <c r="A107" s="37">
        <v>45667</v>
      </c>
      <c r="B107" s="38" t="s">
        <v>54</v>
      </c>
      <c r="C107" s="39" t="s">
        <v>248</v>
      </c>
      <c r="D107" s="38" t="s">
        <v>249</v>
      </c>
      <c r="E107" s="40" t="s">
        <v>49</v>
      </c>
      <c r="F107" s="40" t="s">
        <v>234</v>
      </c>
      <c r="G107" s="41">
        <v>3</v>
      </c>
      <c r="H107" s="41">
        <v>3</v>
      </c>
      <c r="I107" s="41">
        <f t="shared" si="8"/>
        <v>0</v>
      </c>
      <c r="J107" s="53" t="s">
        <v>299</v>
      </c>
      <c r="K107" s="43" t="s">
        <v>264</v>
      </c>
    </row>
    <row r="108" spans="1:11" ht="13.2" x14ac:dyDescent="0.25">
      <c r="A108" s="37">
        <v>45668</v>
      </c>
      <c r="B108" s="38" t="s">
        <v>54</v>
      </c>
      <c r="C108" s="39" t="s">
        <v>250</v>
      </c>
      <c r="D108" s="38" t="s">
        <v>170</v>
      </c>
      <c r="E108" s="40" t="s">
        <v>66</v>
      </c>
      <c r="F108" s="40" t="s">
        <v>230</v>
      </c>
      <c r="G108" s="41">
        <v>4</v>
      </c>
      <c r="H108" s="41">
        <v>4</v>
      </c>
      <c r="I108" s="41">
        <f t="shared" si="8"/>
        <v>0</v>
      </c>
      <c r="J108" s="53" t="s">
        <v>294</v>
      </c>
      <c r="K108" s="43" t="s">
        <v>265</v>
      </c>
    </row>
    <row r="109" spans="1:11" ht="13.2" x14ac:dyDescent="0.25">
      <c r="A109" s="37">
        <v>45668</v>
      </c>
      <c r="B109" s="38" t="s">
        <v>54</v>
      </c>
      <c r="C109" s="39" t="s">
        <v>251</v>
      </c>
      <c r="D109" s="38" t="s">
        <v>252</v>
      </c>
      <c r="E109" s="40" t="s">
        <v>49</v>
      </c>
      <c r="F109" s="40" t="s">
        <v>230</v>
      </c>
      <c r="G109" s="41">
        <v>1</v>
      </c>
      <c r="H109" s="41">
        <v>1</v>
      </c>
      <c r="I109" s="41">
        <f t="shared" si="8"/>
        <v>0</v>
      </c>
      <c r="J109" s="45"/>
      <c r="K109" s="43"/>
    </row>
    <row r="110" spans="1:11" ht="13.2" x14ac:dyDescent="0.25">
      <c r="A110" s="37">
        <v>45669</v>
      </c>
      <c r="B110" s="38" t="s">
        <v>54</v>
      </c>
      <c r="C110" s="39" t="s">
        <v>167</v>
      </c>
      <c r="D110" s="38"/>
      <c r="E110" s="40" t="s">
        <v>52</v>
      </c>
      <c r="F110" s="40" t="s">
        <v>321</v>
      </c>
      <c r="G110" s="41">
        <v>3</v>
      </c>
      <c r="H110" s="41">
        <v>3</v>
      </c>
      <c r="I110" s="41">
        <f t="shared" si="8"/>
        <v>0</v>
      </c>
      <c r="J110" s="45"/>
      <c r="K110" s="43" t="s">
        <v>266</v>
      </c>
    </row>
    <row r="111" spans="1:11" ht="13.2" x14ac:dyDescent="0.25">
      <c r="A111" s="37">
        <v>45669</v>
      </c>
      <c r="B111" s="38" t="s">
        <v>54</v>
      </c>
      <c r="C111" s="39" t="s">
        <v>118</v>
      </c>
      <c r="D111" s="38" t="s">
        <v>118</v>
      </c>
      <c r="E111" s="40" t="s">
        <v>63</v>
      </c>
      <c r="F111" s="40" t="s">
        <v>321</v>
      </c>
      <c r="G111" s="41">
        <v>2</v>
      </c>
      <c r="H111" s="41">
        <v>2</v>
      </c>
      <c r="I111" s="41">
        <f t="shared" si="8"/>
        <v>0</v>
      </c>
      <c r="J111" s="53" t="s">
        <v>300</v>
      </c>
      <c r="K111" s="43" t="s">
        <v>267</v>
      </c>
    </row>
    <row r="112" spans="1:11" ht="13.2" x14ac:dyDescent="0.25">
      <c r="A112" s="37"/>
      <c r="B112" s="38"/>
      <c r="C112" s="39" t="s">
        <v>17</v>
      </c>
      <c r="D112" s="38"/>
      <c r="E112" s="40"/>
      <c r="F112" s="40"/>
      <c r="G112" s="41"/>
      <c r="H112" s="41"/>
      <c r="I112" s="41">
        <f t="shared" si="8"/>
        <v>0</v>
      </c>
      <c r="J112" s="45"/>
      <c r="K112" s="43"/>
    </row>
    <row r="113" spans="1:11" ht="13.2" x14ac:dyDescent="0.25">
      <c r="A113" s="13"/>
      <c r="B113" s="15"/>
      <c r="C113" s="15"/>
      <c r="D113" s="15"/>
      <c r="E113" s="15" t="s">
        <v>18</v>
      </c>
      <c r="F113" s="15"/>
      <c r="G113" s="18">
        <f t="shared" ref="G113:H113" si="9">SUM(G100:G112)</f>
        <v>34</v>
      </c>
      <c r="H113" s="18">
        <f t="shared" si="9"/>
        <v>34</v>
      </c>
      <c r="I113" s="18">
        <f t="shared" si="8"/>
        <v>0</v>
      </c>
      <c r="J113" s="19"/>
      <c r="K113" s="46"/>
    </row>
    <row r="114" spans="1:11" ht="18.75" customHeight="1" x14ac:dyDescent="0.25">
      <c r="A114" s="75" t="s">
        <v>25</v>
      </c>
      <c r="B114" s="65"/>
      <c r="C114" s="65"/>
      <c r="D114" s="65"/>
      <c r="E114" s="65"/>
      <c r="F114" s="65"/>
      <c r="G114" s="65"/>
      <c r="H114" s="65"/>
      <c r="I114" s="65"/>
      <c r="J114" s="65"/>
      <c r="K114" s="66"/>
    </row>
    <row r="115" spans="1:11" ht="13.2" x14ac:dyDescent="0.25">
      <c r="A115" s="29" t="s">
        <v>12</v>
      </c>
      <c r="B115" s="72" t="s">
        <v>13</v>
      </c>
      <c r="C115" s="65"/>
      <c r="D115" s="65"/>
      <c r="E115" s="65"/>
      <c r="F115" s="65"/>
      <c r="G115" s="65"/>
      <c r="H115" s="65"/>
      <c r="I115" s="65"/>
      <c r="J115" s="65"/>
      <c r="K115" s="66"/>
    </row>
    <row r="116" spans="1:11" ht="28.5" customHeight="1" x14ac:dyDescent="0.25">
      <c r="A116" s="30" t="s">
        <v>14</v>
      </c>
      <c r="B116" s="72" t="s">
        <v>15</v>
      </c>
      <c r="C116" s="65"/>
      <c r="D116" s="65"/>
      <c r="E116" s="65"/>
      <c r="F116" s="65"/>
      <c r="G116" s="65"/>
      <c r="H116" s="65"/>
      <c r="I116" s="65"/>
      <c r="J116" s="65"/>
      <c r="K116" s="66"/>
    </row>
    <row r="117" spans="1:11" ht="13.2" x14ac:dyDescent="0.25">
      <c r="A117" s="37">
        <v>45670</v>
      </c>
      <c r="B117" s="38" t="s">
        <v>54</v>
      </c>
      <c r="C117" s="39" t="s">
        <v>272</v>
      </c>
      <c r="D117" s="38" t="s">
        <v>273</v>
      </c>
      <c r="E117" s="40" t="s">
        <v>66</v>
      </c>
      <c r="F117" s="40" t="s">
        <v>274</v>
      </c>
      <c r="G117" s="41">
        <v>3</v>
      </c>
      <c r="H117" s="41">
        <v>3</v>
      </c>
      <c r="I117" s="41">
        <f>H117-G117</f>
        <v>0</v>
      </c>
      <c r="J117" s="53" t="s">
        <v>275</v>
      </c>
      <c r="K117" s="43" t="s">
        <v>276</v>
      </c>
    </row>
    <row r="118" spans="1:11" ht="13.2" x14ac:dyDescent="0.25">
      <c r="A118" s="37">
        <v>45671</v>
      </c>
      <c r="B118" s="38" t="s">
        <v>54</v>
      </c>
      <c r="C118" s="39" t="s">
        <v>105</v>
      </c>
      <c r="D118" s="38" t="s">
        <v>277</v>
      </c>
      <c r="E118" s="40" t="s">
        <v>49</v>
      </c>
      <c r="F118" s="40" t="s">
        <v>278</v>
      </c>
      <c r="G118" s="41">
        <v>3</v>
      </c>
      <c r="H118" s="41">
        <v>3</v>
      </c>
      <c r="I118" s="41">
        <f t="shared" ref="I118:I129" si="10">H118-G118</f>
        <v>0</v>
      </c>
      <c r="J118" s="53" t="s">
        <v>227</v>
      </c>
      <c r="K118" s="43"/>
    </row>
    <row r="119" spans="1:11" ht="13.2" x14ac:dyDescent="0.25">
      <c r="A119" s="37">
        <v>45672</v>
      </c>
      <c r="B119" s="38" t="s">
        <v>54</v>
      </c>
      <c r="C119" s="39" t="s">
        <v>279</v>
      </c>
      <c r="D119" s="38" t="s">
        <v>280</v>
      </c>
      <c r="E119" s="40" t="s">
        <v>66</v>
      </c>
      <c r="F119" s="40" t="s">
        <v>274</v>
      </c>
      <c r="G119" s="41">
        <v>3</v>
      </c>
      <c r="H119" s="41">
        <v>3</v>
      </c>
      <c r="I119" s="41">
        <f t="shared" si="10"/>
        <v>0</v>
      </c>
      <c r="J119" s="53" t="s">
        <v>281</v>
      </c>
      <c r="K119" s="43"/>
    </row>
    <row r="120" spans="1:11" ht="13.2" x14ac:dyDescent="0.25">
      <c r="A120" s="37">
        <v>45673</v>
      </c>
      <c r="B120" s="38" t="s">
        <v>54</v>
      </c>
      <c r="C120" s="39" t="s">
        <v>282</v>
      </c>
      <c r="D120" s="38" t="s">
        <v>283</v>
      </c>
      <c r="E120" s="40" t="s">
        <v>66</v>
      </c>
      <c r="F120" s="40" t="s">
        <v>274</v>
      </c>
      <c r="G120" s="41">
        <v>4</v>
      </c>
      <c r="H120" s="41">
        <v>4</v>
      </c>
      <c r="I120" s="41">
        <f t="shared" si="10"/>
        <v>0</v>
      </c>
      <c r="J120" s="45"/>
      <c r="K120" s="43" t="s">
        <v>284</v>
      </c>
    </row>
    <row r="121" spans="1:11" ht="13.2" x14ac:dyDescent="0.25">
      <c r="A121" s="37">
        <v>45673</v>
      </c>
      <c r="B121" s="38" t="s">
        <v>54</v>
      </c>
      <c r="C121" s="39" t="s">
        <v>285</v>
      </c>
      <c r="D121" s="38" t="s">
        <v>197</v>
      </c>
      <c r="E121" s="40" t="s">
        <v>49</v>
      </c>
      <c r="F121" s="40" t="s">
        <v>234</v>
      </c>
      <c r="G121" s="41">
        <v>3</v>
      </c>
      <c r="H121" s="41">
        <v>3</v>
      </c>
      <c r="I121" s="41">
        <f t="shared" si="10"/>
        <v>0</v>
      </c>
      <c r="J121" s="45"/>
      <c r="K121" s="43"/>
    </row>
    <row r="122" spans="1:11" ht="13.2" x14ac:dyDescent="0.25">
      <c r="A122" s="37">
        <v>45674</v>
      </c>
      <c r="B122" s="38" t="s">
        <v>54</v>
      </c>
      <c r="C122" s="39" t="s">
        <v>286</v>
      </c>
      <c r="D122" s="38" t="s">
        <v>287</v>
      </c>
      <c r="E122" s="40" t="s">
        <v>66</v>
      </c>
      <c r="F122" s="40" t="s">
        <v>234</v>
      </c>
      <c r="G122" s="41">
        <v>3</v>
      </c>
      <c r="H122" s="41">
        <v>3</v>
      </c>
      <c r="I122" s="41">
        <f t="shared" si="10"/>
        <v>0</v>
      </c>
      <c r="J122" s="53" t="s">
        <v>288</v>
      </c>
      <c r="K122" s="43"/>
    </row>
    <row r="123" spans="1:11" ht="13.2" x14ac:dyDescent="0.25">
      <c r="A123" s="37">
        <v>45674</v>
      </c>
      <c r="B123" s="38" t="s">
        <v>54</v>
      </c>
      <c r="C123" s="39" t="s">
        <v>289</v>
      </c>
      <c r="D123" s="38" t="s">
        <v>290</v>
      </c>
      <c r="E123" s="40" t="s">
        <v>66</v>
      </c>
      <c r="F123" s="40" t="s">
        <v>234</v>
      </c>
      <c r="G123" s="41">
        <v>2</v>
      </c>
      <c r="H123" s="41">
        <v>2</v>
      </c>
      <c r="I123" s="41">
        <f t="shared" si="10"/>
        <v>0</v>
      </c>
      <c r="J123" s="53" t="s">
        <v>301</v>
      </c>
      <c r="K123" s="43"/>
    </row>
    <row r="124" spans="1:11" ht="13.2" x14ac:dyDescent="0.25">
      <c r="A124" s="37">
        <v>45675</v>
      </c>
      <c r="B124" s="38" t="s">
        <v>54</v>
      </c>
      <c r="C124" s="39" t="s">
        <v>118</v>
      </c>
      <c r="D124" s="38" t="s">
        <v>292</v>
      </c>
      <c r="E124" s="40" t="s">
        <v>63</v>
      </c>
      <c r="F124" s="40" t="s">
        <v>321</v>
      </c>
      <c r="G124" s="41">
        <v>1</v>
      </c>
      <c r="H124" s="41">
        <v>1</v>
      </c>
      <c r="I124" s="41">
        <f t="shared" si="10"/>
        <v>0</v>
      </c>
      <c r="J124" s="53" t="s">
        <v>302</v>
      </c>
      <c r="K124" s="43"/>
    </row>
    <row r="125" spans="1:11" ht="13.2" x14ac:dyDescent="0.25">
      <c r="A125" s="37">
        <v>45675</v>
      </c>
      <c r="B125" s="38" t="s">
        <v>54</v>
      </c>
      <c r="C125" s="39" t="s">
        <v>291</v>
      </c>
      <c r="D125" s="38" t="s">
        <v>293</v>
      </c>
      <c r="E125" s="40" t="s">
        <v>63</v>
      </c>
      <c r="F125" s="40" t="s">
        <v>321</v>
      </c>
      <c r="G125" s="41">
        <v>2</v>
      </c>
      <c r="H125" s="41">
        <v>2</v>
      </c>
      <c r="I125" s="41">
        <f t="shared" si="10"/>
        <v>0</v>
      </c>
      <c r="J125" s="45"/>
      <c r="K125" s="43"/>
    </row>
    <row r="126" spans="1:11" ht="13.2" x14ac:dyDescent="0.25">
      <c r="A126" s="37">
        <v>45676</v>
      </c>
      <c r="B126" s="38" t="s">
        <v>54</v>
      </c>
      <c r="C126" s="39" t="s">
        <v>294</v>
      </c>
      <c r="D126" s="38" t="s">
        <v>295</v>
      </c>
      <c r="E126" s="40" t="s">
        <v>66</v>
      </c>
      <c r="F126" s="40" t="s">
        <v>278</v>
      </c>
      <c r="G126" s="41">
        <v>3</v>
      </c>
      <c r="H126" s="41">
        <v>3</v>
      </c>
      <c r="I126" s="41">
        <f t="shared" si="10"/>
        <v>0</v>
      </c>
      <c r="J126" s="53" t="s">
        <v>294</v>
      </c>
      <c r="K126" s="43"/>
    </row>
    <row r="127" spans="1:11" ht="13.2" x14ac:dyDescent="0.25">
      <c r="A127" s="37">
        <v>45676</v>
      </c>
      <c r="B127" s="38" t="s">
        <v>54</v>
      </c>
      <c r="C127" s="39" t="s">
        <v>296</v>
      </c>
      <c r="D127" s="38" t="s">
        <v>297</v>
      </c>
      <c r="E127" s="40" t="s">
        <v>49</v>
      </c>
      <c r="F127" s="40" t="s">
        <v>278</v>
      </c>
      <c r="G127" s="41">
        <v>2</v>
      </c>
      <c r="H127" s="41">
        <v>2</v>
      </c>
      <c r="I127" s="41">
        <f t="shared" si="10"/>
        <v>0</v>
      </c>
      <c r="J127" s="53" t="s">
        <v>298</v>
      </c>
      <c r="K127" s="43"/>
    </row>
    <row r="128" spans="1:11" ht="13.2" x14ac:dyDescent="0.25">
      <c r="A128" s="37"/>
      <c r="B128" s="38"/>
      <c r="C128" s="39" t="s">
        <v>17</v>
      </c>
      <c r="D128" s="38"/>
      <c r="E128" s="40"/>
      <c r="F128" s="40"/>
      <c r="G128" s="41"/>
      <c r="H128" s="41"/>
      <c r="I128" s="41">
        <f t="shared" si="10"/>
        <v>0</v>
      </c>
      <c r="J128" s="45"/>
      <c r="K128" s="43"/>
    </row>
    <row r="129" spans="1:11" ht="13.2" x14ac:dyDescent="0.25">
      <c r="A129" s="13"/>
      <c r="B129" s="15"/>
      <c r="C129" s="15"/>
      <c r="D129" s="15"/>
      <c r="E129" s="15" t="s">
        <v>18</v>
      </c>
      <c r="F129" s="15"/>
      <c r="G129" s="18">
        <f t="shared" ref="G129:H129" si="11">SUM(G117:G128)</f>
        <v>29</v>
      </c>
      <c r="H129" s="18">
        <f t="shared" si="11"/>
        <v>29</v>
      </c>
      <c r="I129" s="18">
        <f t="shared" si="10"/>
        <v>0</v>
      </c>
      <c r="J129" s="19"/>
      <c r="K129" s="46"/>
    </row>
    <row r="130" spans="1:11" ht="18.75" customHeight="1" x14ac:dyDescent="0.25">
      <c r="A130" s="57" t="s">
        <v>26</v>
      </c>
      <c r="B130" s="58"/>
      <c r="C130" s="58"/>
      <c r="D130" s="58"/>
      <c r="E130" s="58"/>
      <c r="F130" s="58"/>
      <c r="G130" s="58"/>
      <c r="H130" s="58"/>
      <c r="I130" s="58"/>
      <c r="J130" s="58"/>
      <c r="K130" s="59"/>
    </row>
    <row r="131" spans="1:11" ht="13.2" x14ac:dyDescent="0.25">
      <c r="A131" s="32" t="s">
        <v>12</v>
      </c>
      <c r="B131" s="60" t="s">
        <v>13</v>
      </c>
      <c r="C131" s="58"/>
      <c r="D131" s="58"/>
      <c r="E131" s="58"/>
      <c r="F131" s="58"/>
      <c r="G131" s="58"/>
      <c r="H131" s="58"/>
      <c r="I131" s="58"/>
      <c r="J131" s="58"/>
      <c r="K131" s="59"/>
    </row>
    <row r="132" spans="1:11" ht="28.5" customHeight="1" x14ac:dyDescent="0.25">
      <c r="A132" s="33" t="s">
        <v>14</v>
      </c>
      <c r="B132" s="60" t="s">
        <v>15</v>
      </c>
      <c r="C132" s="58"/>
      <c r="D132" s="58"/>
      <c r="E132" s="58"/>
      <c r="F132" s="58"/>
      <c r="G132" s="58"/>
      <c r="H132" s="58"/>
      <c r="I132" s="58"/>
      <c r="J132" s="58"/>
      <c r="K132" s="59"/>
    </row>
    <row r="133" spans="1:11" ht="13.2" x14ac:dyDescent="0.25">
      <c r="A133" s="37">
        <v>45677</v>
      </c>
      <c r="B133" s="38" t="s">
        <v>54</v>
      </c>
      <c r="C133" s="39" t="s">
        <v>303</v>
      </c>
      <c r="D133" s="38" t="s">
        <v>304</v>
      </c>
      <c r="E133" s="40" t="s">
        <v>66</v>
      </c>
      <c r="F133" s="40" t="s">
        <v>230</v>
      </c>
      <c r="G133" s="41">
        <v>2</v>
      </c>
      <c r="H133" s="41">
        <v>2</v>
      </c>
      <c r="I133" s="41">
        <f t="shared" ref="I133:I143" si="12">H133-G133</f>
        <v>0</v>
      </c>
      <c r="J133" s="53" t="s">
        <v>71</v>
      </c>
      <c r="K133" s="43"/>
    </row>
    <row r="134" spans="1:11" ht="13.2" x14ac:dyDescent="0.25">
      <c r="A134" s="37">
        <v>45677</v>
      </c>
      <c r="B134" s="38" t="s">
        <v>54</v>
      </c>
      <c r="C134" s="39" t="s">
        <v>227</v>
      </c>
      <c r="D134" s="38" t="s">
        <v>305</v>
      </c>
      <c r="E134" s="40" t="s">
        <v>49</v>
      </c>
      <c r="F134" s="40" t="s">
        <v>230</v>
      </c>
      <c r="G134" s="41">
        <v>2</v>
      </c>
      <c r="H134" s="41">
        <v>2</v>
      </c>
      <c r="I134" s="41">
        <f t="shared" si="12"/>
        <v>0</v>
      </c>
      <c r="J134" s="53" t="s">
        <v>227</v>
      </c>
      <c r="K134" s="43"/>
    </row>
    <row r="135" spans="1:11" ht="13.2" x14ac:dyDescent="0.25">
      <c r="A135" s="37">
        <v>45678</v>
      </c>
      <c r="B135" s="38" t="s">
        <v>54</v>
      </c>
      <c r="C135" s="39" t="s">
        <v>285</v>
      </c>
      <c r="D135" s="38" t="s">
        <v>306</v>
      </c>
      <c r="E135" s="40" t="s">
        <v>49</v>
      </c>
      <c r="F135" s="40" t="s">
        <v>230</v>
      </c>
      <c r="G135" s="41">
        <v>2</v>
      </c>
      <c r="H135" s="41">
        <v>2</v>
      </c>
      <c r="I135" s="41">
        <f t="shared" si="12"/>
        <v>0</v>
      </c>
      <c r="J135" s="53" t="s">
        <v>227</v>
      </c>
      <c r="K135" s="43" t="s">
        <v>307</v>
      </c>
    </row>
    <row r="136" spans="1:11" ht="13.2" x14ac:dyDescent="0.25">
      <c r="A136" s="37">
        <v>45679</v>
      </c>
      <c r="B136" s="38" t="s">
        <v>54</v>
      </c>
      <c r="C136" s="39" t="s">
        <v>71</v>
      </c>
      <c r="D136" s="38" t="s">
        <v>308</v>
      </c>
      <c r="E136" s="40" t="s">
        <v>49</v>
      </c>
      <c r="F136" s="40" t="s">
        <v>230</v>
      </c>
      <c r="G136" s="41">
        <v>3</v>
      </c>
      <c r="H136" s="41">
        <v>3</v>
      </c>
      <c r="I136" s="41">
        <f t="shared" si="12"/>
        <v>0</v>
      </c>
      <c r="J136" s="53" t="s">
        <v>227</v>
      </c>
      <c r="K136" s="43" t="s">
        <v>309</v>
      </c>
    </row>
    <row r="137" spans="1:11" ht="13.2" x14ac:dyDescent="0.25">
      <c r="A137" s="37">
        <v>45680</v>
      </c>
      <c r="B137" s="38" t="s">
        <v>54</v>
      </c>
      <c r="C137" s="39" t="s">
        <v>75</v>
      </c>
      <c r="D137" s="38" t="s">
        <v>310</v>
      </c>
      <c r="E137" s="40" t="s">
        <v>63</v>
      </c>
      <c r="F137" s="40" t="s">
        <v>321</v>
      </c>
      <c r="G137" s="41">
        <v>2</v>
      </c>
      <c r="H137" s="41">
        <v>2</v>
      </c>
      <c r="I137" s="41">
        <f t="shared" si="12"/>
        <v>0</v>
      </c>
      <c r="J137" s="45"/>
      <c r="K137" s="43" t="s">
        <v>311</v>
      </c>
    </row>
    <row r="138" spans="1:11" ht="13.2" x14ac:dyDescent="0.25">
      <c r="A138" s="37">
        <v>45680</v>
      </c>
      <c r="B138" s="38" t="s">
        <v>54</v>
      </c>
      <c r="C138" s="39" t="s">
        <v>270</v>
      </c>
      <c r="D138" s="38" t="s">
        <v>312</v>
      </c>
      <c r="E138" s="40" t="s">
        <v>63</v>
      </c>
      <c r="F138" s="40" t="s">
        <v>321</v>
      </c>
      <c r="G138" s="41">
        <v>3</v>
      </c>
      <c r="H138" s="41">
        <v>3</v>
      </c>
      <c r="I138" s="41">
        <f t="shared" si="12"/>
        <v>0</v>
      </c>
      <c r="J138" s="45"/>
      <c r="K138" s="43" t="s">
        <v>313</v>
      </c>
    </row>
    <row r="139" spans="1:11" ht="13.2" x14ac:dyDescent="0.25">
      <c r="A139" s="37">
        <v>45680</v>
      </c>
      <c r="B139" s="38" t="s">
        <v>54</v>
      </c>
      <c r="C139" s="39" t="s">
        <v>314</v>
      </c>
      <c r="D139" s="38" t="s">
        <v>315</v>
      </c>
      <c r="E139" s="40" t="s">
        <v>63</v>
      </c>
      <c r="F139" s="40" t="s">
        <v>230</v>
      </c>
      <c r="G139" s="41">
        <v>4</v>
      </c>
      <c r="H139" s="41">
        <v>4</v>
      </c>
      <c r="I139" s="41">
        <f t="shared" si="12"/>
        <v>0</v>
      </c>
      <c r="J139" s="53" t="s">
        <v>320</v>
      </c>
      <c r="K139" s="43" t="s">
        <v>316</v>
      </c>
    </row>
    <row r="140" spans="1:11" ht="13.2" x14ac:dyDescent="0.25">
      <c r="A140" s="37">
        <v>45680</v>
      </c>
      <c r="B140" s="38" t="s">
        <v>54</v>
      </c>
      <c r="C140" s="39" t="s">
        <v>317</v>
      </c>
      <c r="D140" s="38" t="s">
        <v>319</v>
      </c>
      <c r="E140" s="40" t="s">
        <v>66</v>
      </c>
      <c r="F140" s="40" t="s">
        <v>230</v>
      </c>
      <c r="G140" s="41">
        <v>3</v>
      </c>
      <c r="H140" s="41">
        <v>3</v>
      </c>
      <c r="I140" s="41">
        <f t="shared" si="12"/>
        <v>0</v>
      </c>
      <c r="J140" s="45"/>
      <c r="K140" s="43" t="s">
        <v>318</v>
      </c>
    </row>
    <row r="141" spans="1:11" ht="13.2" x14ac:dyDescent="0.25">
      <c r="A141" s="37"/>
      <c r="B141" s="38"/>
      <c r="C141" s="39" t="s">
        <v>17</v>
      </c>
      <c r="D141" s="38"/>
      <c r="E141" s="40"/>
      <c r="F141" s="40"/>
      <c r="G141" s="41"/>
      <c r="H141" s="41"/>
      <c r="I141" s="41">
        <f t="shared" si="12"/>
        <v>0</v>
      </c>
      <c r="J141" s="45"/>
      <c r="K141" s="43"/>
    </row>
    <row r="142" spans="1:11" ht="13.2" x14ac:dyDescent="0.25">
      <c r="A142" s="37"/>
      <c r="B142" s="38"/>
      <c r="C142" s="39" t="s">
        <v>17</v>
      </c>
      <c r="D142" s="38"/>
      <c r="E142" s="40"/>
      <c r="F142" s="40"/>
      <c r="G142" s="41"/>
      <c r="H142" s="41"/>
      <c r="I142" s="41">
        <f t="shared" si="12"/>
        <v>0</v>
      </c>
      <c r="J142" s="45"/>
      <c r="K142" s="43"/>
    </row>
    <row r="143" spans="1:11" ht="13.2" x14ac:dyDescent="0.25">
      <c r="A143" s="48"/>
      <c r="B143" s="49"/>
      <c r="C143" s="49"/>
      <c r="D143" s="49"/>
      <c r="E143" s="49" t="s">
        <v>18</v>
      </c>
      <c r="F143" s="49"/>
      <c r="G143" s="50">
        <f t="shared" ref="G143:H143" si="13">SUM(G133:G142)</f>
        <v>21</v>
      </c>
      <c r="H143" s="50">
        <f t="shared" si="13"/>
        <v>21</v>
      </c>
      <c r="I143" s="50">
        <f t="shared" si="12"/>
        <v>0</v>
      </c>
      <c r="J143" s="51"/>
      <c r="K143" s="52"/>
    </row>
  </sheetData>
  <autoFilter ref="A1:K21" xr:uid="{00000000-0009-0000-0000-000000000000}"/>
  <customSheetViews>
    <customSheetView guid="{8BAC9A6B-5D32-4E8D-967D-E17D357516F8}" filter="1" showAutoFilter="1">
      <pageMargins left="0" right="0" top="0" bottom="0" header="0" footer="0"/>
      <autoFilter ref="A1:K15" xr:uid="{31EF5187-E68D-44B6-855F-212711453B8E}">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98:K98"/>
    <mergeCell ref="B99:K99"/>
    <mergeCell ref="A114:K114"/>
    <mergeCell ref="B63:K63"/>
    <mergeCell ref="A79:K79"/>
    <mergeCell ref="B80:K80"/>
    <mergeCell ref="B81:K81"/>
    <mergeCell ref="A97:K97"/>
    <mergeCell ref="A130:K130"/>
    <mergeCell ref="B131:K131"/>
    <mergeCell ref="B132:K132"/>
    <mergeCell ref="A2:K2"/>
    <mergeCell ref="B3:K3"/>
    <mergeCell ref="B4:K4"/>
    <mergeCell ref="A22:K22"/>
    <mergeCell ref="B23:K23"/>
    <mergeCell ref="B24:K24"/>
    <mergeCell ref="A40:K40"/>
    <mergeCell ref="B41:K41"/>
    <mergeCell ref="B42:K42"/>
    <mergeCell ref="A61:K61"/>
    <mergeCell ref="B115:K115"/>
    <mergeCell ref="B116:K116"/>
    <mergeCell ref="B62:K62"/>
  </mergeCells>
  <conditionalFormatting sqref="B5:B20 B23:B38 B43:B59 B64:B77 B82:B95 B100:B112 B117:B128">
    <cfRule type="containsText" dxfId="17" priority="6" operator="containsText" text="Unplanned">
      <formula>NOT(ISERROR(SEARCH(("Unplanned"),(B5))))</formula>
    </cfRule>
    <cfRule type="containsText" dxfId="16" priority="7" operator="containsText" text="Planned">
      <formula>NOT(ISERROR(SEARCH(("Planned"),(B5))))</formula>
    </cfRule>
    <cfRule type="containsText" dxfId="15" priority="8" operator="containsText" text="In-Progress">
      <formula>NOT(ISERROR(SEARCH(("In-Progress"),(B5))))</formula>
    </cfRule>
    <cfRule type="containsText" dxfId="14" priority="9" operator="containsText" text="Blocked">
      <formula>NOT(ISERROR(SEARCH(("Blocked"),(B5))))</formula>
    </cfRule>
    <cfRule type="containsText" dxfId="13" priority="10" operator="containsText" text="Done">
      <formula>NOT(ISERROR(SEARCH(("Done"),(B5))))</formula>
    </cfRule>
  </conditionalFormatting>
  <conditionalFormatting sqref="B5:B21 B23:B39 B41:B60 B62:B78 B80:B96 B98:B113 B115:B129 B131:B143">
    <cfRule type="containsText" dxfId="12" priority="11" operator="containsText" text="Unplanned">
      <formula>NOT(ISERROR(SEARCH(("Unplanned"),(B5))))</formula>
    </cfRule>
    <cfRule type="containsText" dxfId="11" priority="12" operator="containsText" text="Cancelled">
      <formula>NOT(ISERROR(SEARCH(("Cancelled"),(B5))))</formula>
    </cfRule>
  </conditionalFormatting>
  <conditionalFormatting sqref="B133:B142">
    <cfRule type="containsText" dxfId="10" priority="1" operator="containsText" text="Unplanned">
      <formula>NOT(ISERROR(SEARCH(("Unplanned"),(B133))))</formula>
    </cfRule>
    <cfRule type="containsText" dxfId="9" priority="2" operator="containsText" text="Planned">
      <formula>NOT(ISERROR(SEARCH(("Planned"),(B133))))</formula>
    </cfRule>
    <cfRule type="containsText" dxfId="8" priority="3" operator="containsText" text="In-Progress">
      <formula>NOT(ISERROR(SEARCH(("In-Progress"),(B133))))</formula>
    </cfRule>
    <cfRule type="containsText" dxfId="7" priority="4" operator="containsText" text="Blocked">
      <formula>NOT(ISERROR(SEARCH(("Blocked"),(B133))))</formula>
    </cfRule>
    <cfRule type="containsText" dxfId="6" priority="5" operator="containsText" text="Done">
      <formula>NOT(ISERROR(SEARCH(("Done"),(B133))))</formula>
    </cfRule>
  </conditionalFormatting>
  <conditionalFormatting sqref="G1 G3:G21 G25:G39 G43:G60 G64:G78 G82:G96 G100:G113 G117:G129 G133:G143">
    <cfRule type="cellIs" dxfId="5" priority="15" operator="greaterThan">
      <formula>4</formula>
    </cfRule>
  </conditionalFormatting>
  <conditionalFormatting sqref="H1:H143">
    <cfRule type="containsBlanks" dxfId="4" priority="16">
      <formula>LEN(TRIM(H1))=0</formula>
    </cfRule>
  </conditionalFormatting>
  <conditionalFormatting sqref="H94">
    <cfRule type="expression" dxfId="3" priority="19">
      <formula>#REF!/G94&gt;=1.5</formula>
    </cfRule>
    <cfRule type="expression" dxfId="2" priority="20">
      <formula>#REF!/G94&lt;=0.5</formula>
    </cfRule>
  </conditionalFormatting>
  <conditionalFormatting sqref="I5:I21 I25:I39 I43:I60 I64:I78 I82:I93 I95:I96 I100:I113 I117:I129 I133:I143">
    <cfRule type="expression" dxfId="1" priority="13">
      <formula>H5/G5&gt;=1.5</formula>
    </cfRule>
    <cfRule type="expression" dxfId="0" priority="14">
      <formula>H5/G5&lt;=0.5</formula>
    </cfRule>
  </conditionalFormatting>
  <dataValidations count="1">
    <dataValidation type="list" allowBlank="1" sqref="F133:F142 F5:F20 F27:F38 F64:F77 F100:F112 F117:F128 F43:F59 F25 F82:F95" xr:uid="{0FAB3063-668E-4727-8636-10D0A6594410}">
      <formula1>"ILO 1.6, ILO 2.6, ILO 5.1, ILO 6.4, ILO 8.6, ILO 8.7, ILO 8.8"</formula1>
    </dataValidation>
  </dataValidations>
  <hyperlinks>
    <hyperlink ref="J6" r:id="rId1" xr:uid="{6D741143-FA30-470F-870A-9239A4D7543D}"/>
    <hyperlink ref="J13" r:id="rId2" xr:uid="{ABEBF8EA-6B15-4D56-A3E7-9BD82B007266}"/>
    <hyperlink ref="J15" r:id="rId3" xr:uid="{E37C397D-ECAB-4ABA-87F7-4818313DFC65}"/>
    <hyperlink ref="J18" r:id="rId4" xr:uid="{A67054E8-648F-46AA-AF6D-F961D4529370}"/>
    <hyperlink ref="J31" r:id="rId5" xr:uid="{E420EAA9-5BFC-4967-82E5-E54858D9317F}"/>
    <hyperlink ref="J29" r:id="rId6" xr:uid="{B1BD52CE-3BB1-456A-8027-83A1608BFC5C}"/>
    <hyperlink ref="J33" r:id="rId7" xr:uid="{2F4F6855-F293-4C55-AD66-C543F47F732C}"/>
    <hyperlink ref="J17" r:id="rId8" xr:uid="{1C7D73CD-B063-40FC-B1F3-FADEE5BAD2C7}"/>
    <hyperlink ref="J8" r:id="rId9" xr:uid="{692D808B-5EAC-4AC4-A120-59AF3F3FCE8F}"/>
    <hyperlink ref="J7" r:id="rId10" xr:uid="{B1C88115-8DB8-4CC6-9D34-A4DB242E7D60}"/>
    <hyperlink ref="J27" r:id="rId11" xr:uid="{0ABDE7AE-4DE4-4D2E-BBD7-DAC15BD51DF8}"/>
    <hyperlink ref="J32" r:id="rId12" xr:uid="{DF9371C5-5797-412C-AB9C-E20F015701E8}"/>
    <hyperlink ref="J45" r:id="rId13" xr:uid="{42B7476B-9F76-4F23-9D3A-5A2418344D7A}"/>
    <hyperlink ref="J46" r:id="rId14" xr:uid="{0E82AC10-04CA-436A-8366-ECCC8413C712}"/>
    <hyperlink ref="J47" r:id="rId15" xr:uid="{3BC0B792-F934-40C5-BC76-42C927732DA3}"/>
    <hyperlink ref="J48" r:id="rId16" xr:uid="{2F41F4CF-D940-42A2-9DF7-9CB76DF8CDFC}"/>
    <hyperlink ref="J49" r:id="rId17" xr:uid="{ECD22501-A619-4515-94A6-5C950A022F5C}"/>
    <hyperlink ref="J52" r:id="rId18" xr:uid="{B3555F4A-C152-4448-99E7-C9499479B12B}"/>
    <hyperlink ref="J53" r:id="rId19" xr:uid="{71FF2824-E36E-4226-9465-D12BE7EA55F7}"/>
    <hyperlink ref="J56" r:id="rId20" xr:uid="{C9BDFD03-C088-4CEF-9771-1722C390BFA4}"/>
    <hyperlink ref="J57" r:id="rId21" xr:uid="{E290493B-58EF-4B54-A22B-D8242952B5E8}"/>
    <hyperlink ref="J51" r:id="rId22" xr:uid="{3C04E06A-5464-4031-B386-D93561326419}"/>
    <hyperlink ref="J65" r:id="rId23" xr:uid="{12C935E6-B461-43C7-B301-6C211FDE2CC6}"/>
    <hyperlink ref="J68" r:id="rId24" xr:uid="{AAA5D5C3-AAD0-4761-A6CC-99D34E341859}"/>
    <hyperlink ref="J86" r:id="rId25" xr:uid="{8A60D981-AF84-452A-88CB-F6F5C3DEF31C}"/>
    <hyperlink ref="J88" r:id="rId26" xr:uid="{1BDB79B9-5248-41B0-BE74-A3EAB609BE3B}"/>
    <hyperlink ref="J90" r:id="rId27" xr:uid="{541BC013-010A-4BFF-A246-646CA76F37D1}"/>
    <hyperlink ref="J69" r:id="rId28" xr:uid="{C252D281-5BDA-4909-B507-645B8A073BAB}"/>
    <hyperlink ref="J66" r:id="rId29" xr:uid="{92940895-03D1-43F5-BFDE-03F37AC86D90}"/>
    <hyperlink ref="J72" r:id="rId30" xr:uid="{73A1A6C9-656B-48DA-875E-67E0DC3376AF}"/>
    <hyperlink ref="J67" r:id="rId31" xr:uid="{397F5DC3-00E1-45BB-AC9F-1140EFC720F1}"/>
    <hyperlink ref="J73" r:id="rId32" xr:uid="{C965733F-BCF2-475E-8E09-0FCE8AB9732A}"/>
    <hyperlink ref="J76" r:id="rId33" xr:uid="{2D81BD63-F680-47BD-8405-FAACB6269819}"/>
    <hyperlink ref="J92" r:id="rId34" xr:uid="{2A298545-6B97-4400-A3D0-328BBB7794F3}"/>
    <hyperlink ref="J85" r:id="rId35" xr:uid="{68D12106-572D-4347-913F-8BB1FEB25C1E}"/>
    <hyperlink ref="J84" r:id="rId36" xr:uid="{1935EAB5-C42A-4AA3-8FD2-7456C51D710A}"/>
    <hyperlink ref="J91" r:id="rId37" xr:uid="{94863C79-1AD2-4CBB-8B20-2D90DB79F4D3}"/>
    <hyperlink ref="J87" r:id="rId38" xr:uid="{429E899C-B452-427B-BF00-37AAEA6BF119}"/>
    <hyperlink ref="J100" r:id="rId39" xr:uid="{E5CFD448-9763-477E-836E-CA296046E458}"/>
    <hyperlink ref="J102" r:id="rId40" xr:uid="{071179AE-2235-48BC-9397-1C76B4E2F91D}"/>
    <hyperlink ref="J105" r:id="rId41" xr:uid="{FEF6A1B0-F72D-4B85-8867-42691ACE6F10}"/>
    <hyperlink ref="J106" r:id="rId42" xr:uid="{1E67B80F-2757-4AE3-81BE-DE815FBF1188}"/>
    <hyperlink ref="J103" r:id="rId43" xr:uid="{8DD754AE-3B6C-43E8-BBAF-D5A89498F2CF}"/>
    <hyperlink ref="J104" r:id="rId44" xr:uid="{4AA51180-AF3D-43AA-8BBF-31780292D57F}"/>
    <hyperlink ref="J95" r:id="rId45" xr:uid="{3B186001-991A-4F55-94AE-2D6D90392AEB}"/>
    <hyperlink ref="J101" r:id="rId46" xr:uid="{3DD6D2D4-55B1-46FC-A2FE-4C6CA61B439F}"/>
    <hyperlink ref="J117" r:id="rId47" xr:uid="{CD9E58DB-D92E-43D6-A9C4-98699CBD05AB}"/>
    <hyperlink ref="J119" r:id="rId48" xr:uid="{3384DC7E-7E12-4647-9E42-D94E9441F47E}"/>
    <hyperlink ref="J122" r:id="rId49" xr:uid="{AAACCBC8-E038-4FEA-B40C-04095657FD8F}"/>
    <hyperlink ref="J126" r:id="rId50" xr:uid="{602B73A3-95FC-4A33-9768-6FE5868A1CBD}"/>
    <hyperlink ref="J127" r:id="rId51" xr:uid="{7C68AAC9-27A7-41A0-927C-CB49D6227ECE}"/>
    <hyperlink ref="J107" r:id="rId52" xr:uid="{1CF59890-82DC-4799-A854-DC58F19CF6EE}"/>
    <hyperlink ref="J108" r:id="rId53" xr:uid="{D69C9F07-6265-433C-8558-3FC79EBCE2A6}"/>
    <hyperlink ref="J111" r:id="rId54" xr:uid="{2B0CA50B-6EA0-42EA-AC86-9201FE4C63B1}"/>
    <hyperlink ref="J123" r:id="rId55" xr:uid="{613EEF9A-FD59-4A30-80CA-6A82CB8A22AA}"/>
    <hyperlink ref="J124" r:id="rId56" xr:uid="{6B959597-5111-46AF-A1C5-7B1DFEBE1A8A}"/>
    <hyperlink ref="J133" r:id="rId57" xr:uid="{95044C41-0E28-46E7-8CAE-42CFF421F0A6}"/>
    <hyperlink ref="J118" r:id="rId58" xr:uid="{3D1D2374-B07A-421C-ADF8-BFB992E16210}"/>
    <hyperlink ref="J134" r:id="rId59" xr:uid="{4A76DC4C-C795-4421-896A-20710AA99B41}"/>
    <hyperlink ref="J135" r:id="rId60" xr:uid="{0BF21DC0-7EBC-4529-9445-592C56EDA36B}"/>
    <hyperlink ref="J136" r:id="rId61" xr:uid="{FC05B5C2-7342-44F6-9049-C3C2960D328C}"/>
    <hyperlink ref="J139" r:id="rId62" xr:uid="{4E3ED259-2A8D-46B3-AA4D-072FD04C2592}"/>
  </hyperlinks>
  <pageMargins left="0.7" right="0.7" top="0.75" bottom="0.75" header="0.3" footer="0.3"/>
  <pageSetup paperSize="9" scale="52" fitToHeight="0" orientation="landscape" horizontalDpi="1200" verticalDpi="1200" r:id="rId63"/>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E133:E142 E5:E20 E43:E59 E64:E77 E100:E112 E117:E128 E25:E38 E82:E95</xm:sqref>
        </x14:dataValidation>
        <x14:dataValidation type="list" allowBlank="1" xr:uid="{00000000-0002-0000-0000-000002000000}">
          <x14:formula1>
            <xm:f>'Drop-downs'!$A$2:$A$9</xm:f>
          </x14:formula1>
          <xm:sqref>B133:B142 B5:B20 B43:B59 B64:B77 B117:B128 B25:B38 B82:B95 B100:B104 B106:B112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27</v>
      </c>
      <c r="C2" s="2" t="s">
        <v>28</v>
      </c>
      <c r="D2" s="2" t="s">
        <v>29</v>
      </c>
      <c r="E2" s="2" t="s">
        <v>30</v>
      </c>
      <c r="F2" s="2" t="s">
        <v>31</v>
      </c>
      <c r="G2" s="2" t="s">
        <v>32</v>
      </c>
      <c r="H2" s="2" t="s">
        <v>33</v>
      </c>
      <c r="I2" s="2" t="s">
        <v>34</v>
      </c>
      <c r="J2" s="2" t="s">
        <v>35</v>
      </c>
      <c r="K2" s="3" t="s">
        <v>36</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IFERROR(SUM(_xlfn._xlws.FILTER('Worklog_Tasks&amp;Times'!$H$5:$H$20,'Worklog_Tasks&amp;Times'!$F$5:$F$20=$B4)),0)</f>
        <v>0</v>
      </c>
      <c r="D4" s="10" cm="1">
        <f t="array" ref="D4">IFERROR(SUM(_xlfn._xlws.FILTER('Worklog_Tasks&amp;Times'!$H$25:$H$38,'Worklog_Tasks&amp;Times'!$F$5:$F$20=$B4)),0)</f>
        <v>0</v>
      </c>
      <c r="E4" s="10" cm="1">
        <f t="array" ref="E4">IFERROR(SUM(_xlfn._xlws.FILTER('Worklog_Tasks&amp;Times'!$H$5:$H$20,'Worklog_Tasks&amp;Times'!$F$5:$F$20=$B4)),0)</f>
        <v>0</v>
      </c>
      <c r="F4" s="10" cm="1">
        <f t="array" ref="F4">IFERROR(SUM(_xlfn._xlws.FILTER('Worklog_Tasks&amp;Times'!$H$5:$H$20,'Worklog_Tasks&amp;Times'!$F$5:$F$20=$B4)),0)</f>
        <v>0</v>
      </c>
      <c r="G4" s="10" cm="1">
        <f t="array" ref="G4">IFERROR(SUM(_xlfn._xlws.FILTER('Worklog_Tasks&amp;Times'!$H$5:$H$20,'Worklog_Tasks&amp;Times'!$F$5:$F$20=$B4)),0)</f>
        <v>0</v>
      </c>
      <c r="H4" s="10" cm="1">
        <f t="array" ref="H4">IFERROR(SUM(_xlfn._xlws.FILTER('Worklog_Tasks&amp;Times'!$H$5:$H$20,'Worklog_Tasks&amp;Times'!$F$5:$F$20=$B4)),0)</f>
        <v>0</v>
      </c>
      <c r="I4" s="10" cm="1">
        <f t="array" ref="I4">IFERROR(SUM(_xlfn._xlws.FILTER('Worklog_Tasks&amp;Times'!$H$5:$H$20,'Worklog_Tasks&amp;Times'!$F$5:$F$20=$B4)),0)</f>
        <v>0</v>
      </c>
      <c r="J4" s="10" cm="1">
        <f t="array" ref="J4">IFERROR(SUM(_xlfn._xlws.FILTER('Worklog_Tasks&amp;Times'!$H$5:$H$20,'Worklog_Tasks&amp;Times'!$F$5:$F$20=$B4)),0)</f>
        <v>0</v>
      </c>
      <c r="K4" s="7">
        <f t="shared" si="0"/>
        <v>0</v>
      </c>
    </row>
    <row r="5" spans="2:11" ht="13.8" x14ac:dyDescent="0.3">
      <c r="B5" s="4" t="str">
        <f>'Drop-downs'!C4</f>
        <v>ILO 1.5</v>
      </c>
      <c r="C5" s="10" cm="1">
        <f t="array" ref="C5">IFERROR(SUM(_xlfn._xlws.FILTER('Worklog_Tasks&amp;Times'!$H$5:$H$20,'Worklog_Tasks&amp;Times'!$F$5:$F$20=$B5)),0)</f>
        <v>0</v>
      </c>
      <c r="D5" s="10" cm="1">
        <f t="array" ref="D5">IFERROR(SUM(_xlfn._xlws.FILTER('Worklog_Tasks&amp;Times'!$H$5:$H$20,'Worklog_Tasks&amp;Times'!$F$5:$F$20=$B5)),0)</f>
        <v>0</v>
      </c>
      <c r="E5" s="10" cm="1">
        <f t="array" ref="E5">IFERROR(SUM(_xlfn._xlws.FILTER('Worklog_Tasks&amp;Times'!$H$5:$H$20,'Worklog_Tasks&amp;Times'!$F$5:$F$20=$B5)),0)</f>
        <v>0</v>
      </c>
      <c r="F5" s="10" cm="1">
        <f t="array" ref="F5">IFERROR(SUM(_xlfn._xlws.FILTER('Worklog_Tasks&amp;Times'!$H$5:$H$20,'Worklog_Tasks&amp;Times'!$F$5:$F$20=$B5)),0)</f>
        <v>0</v>
      </c>
      <c r="G5" s="10" cm="1">
        <f t="array" ref="G5">IFERROR(SUM(_xlfn._xlws.FILTER('Worklog_Tasks&amp;Times'!$H$5:$H$20,'Worklog_Tasks&amp;Times'!$F$5:$F$20=$B5)),0)</f>
        <v>0</v>
      </c>
      <c r="H5" s="10" cm="1">
        <f t="array" ref="H5">IFERROR(SUM(_xlfn._xlws.FILTER('Worklog_Tasks&amp;Times'!$H$5:$H$20,'Worklog_Tasks&amp;Times'!$F$5:$F$20=$B5)),0)</f>
        <v>0</v>
      </c>
      <c r="I5" s="10" cm="1">
        <f t="array" ref="I5">IFERROR(SUM(_xlfn._xlws.FILTER('Worklog_Tasks&amp;Times'!$H$5:$H$20,'Worklog_Tasks&amp;Times'!$F$5:$F$20=$B5)),0)</f>
        <v>0</v>
      </c>
      <c r="J5" s="10" cm="1">
        <f t="array" ref="J5">IFERROR(SUM(_xlfn._xlws.FILTER('Worklog_Tasks&amp;Times'!$H$5:$H$20,'Worklog_Tasks&amp;Times'!$F$5:$F$20=$B5)),0)</f>
        <v>0</v>
      </c>
      <c r="K5" s="7">
        <f t="shared" si="0"/>
        <v>0</v>
      </c>
    </row>
    <row r="6" spans="2:11" ht="13.8" x14ac:dyDescent="0.3">
      <c r="B6" s="4" t="str">
        <f>'Drop-downs'!C5</f>
        <v>ILO 2.5</v>
      </c>
      <c r="C6" s="10" cm="1">
        <f t="array" ref="C6">IFERROR(SUM(_xlfn._xlws.FILTER('Worklog_Tasks&amp;Times'!$H$5:$H$20,'Worklog_Tasks&amp;Times'!$F$5:$F$20=$B6)),0)</f>
        <v>0</v>
      </c>
      <c r="D6" s="10" cm="1">
        <f t="array" ref="D6">IFERROR(SUM(_xlfn._xlws.FILTER('Worklog_Tasks&amp;Times'!$H$5:$H$20,'Worklog_Tasks&amp;Times'!$F$5:$F$20=$B6)),0)</f>
        <v>0</v>
      </c>
      <c r="E6" s="10" cm="1">
        <f t="array" ref="E6">IFERROR(SUM(_xlfn._xlws.FILTER('Worklog_Tasks&amp;Times'!$H$5:$H$20,'Worklog_Tasks&amp;Times'!$F$5:$F$20=$B6)),0)</f>
        <v>0</v>
      </c>
      <c r="F6" s="10" cm="1">
        <f t="array" ref="F6">IFERROR(SUM(_xlfn._xlws.FILTER('Worklog_Tasks&amp;Times'!$H$5:$H$20,'Worklog_Tasks&amp;Times'!$F$5:$F$20=$B6)),0)</f>
        <v>0</v>
      </c>
      <c r="G6" s="10" cm="1">
        <f t="array" ref="G6">IFERROR(SUM(_xlfn._xlws.FILTER('Worklog_Tasks&amp;Times'!$H$5:$H$20,'Worklog_Tasks&amp;Times'!$F$5:$F$20=$B6)),0)</f>
        <v>0</v>
      </c>
      <c r="H6" s="10" cm="1">
        <f t="array" ref="H6">IFERROR(SUM(_xlfn._xlws.FILTER('Worklog_Tasks&amp;Times'!$H$5:$H$20,'Worklog_Tasks&amp;Times'!$F$5:$F$20=$B6)),0)</f>
        <v>0</v>
      </c>
      <c r="I6" s="10" cm="1">
        <f t="array" ref="I6">IFERROR(SUM(_xlfn._xlws.FILTER('Worklog_Tasks&amp;Times'!$H$5:$H$20,'Worklog_Tasks&amp;Times'!$F$5:$F$20=$B6)),0)</f>
        <v>0</v>
      </c>
      <c r="J6" s="10" cm="1">
        <f t="array" ref="J6">IFERROR(SUM(_xlfn._xlws.FILTER('Worklog_Tasks&amp;Times'!$H$5:$H$20,'Worklog_Tasks&amp;Times'!$F$5:$F$20=$B6)),0)</f>
        <v>0</v>
      </c>
      <c r="K6" s="7">
        <f t="shared" si="0"/>
        <v>0</v>
      </c>
    </row>
    <row r="7" spans="2:11" ht="13.8" x14ac:dyDescent="0.3">
      <c r="B7" s="4" t="str">
        <f>'Drop-downs'!C6</f>
        <v>ILO 3.5</v>
      </c>
      <c r="C7" s="10" cm="1">
        <f t="array" ref="C7">IFERROR(SUM(_xlfn._xlws.FILTER('Worklog_Tasks&amp;Times'!$H$5:$H$20,'Worklog_Tasks&amp;Times'!$F$5:$F$20=$B7)),0)</f>
        <v>0</v>
      </c>
      <c r="D7" s="10" cm="1">
        <f t="array" ref="D7">IFERROR(SUM(_xlfn._xlws.FILTER('Worklog_Tasks&amp;Times'!$H$5:$H$20,'Worklog_Tasks&amp;Times'!$F$5:$F$20=$B7)),0)</f>
        <v>0</v>
      </c>
      <c r="E7" s="10" cm="1">
        <f t="array" ref="E7">IFERROR(SUM(_xlfn._xlws.FILTER('Worklog_Tasks&amp;Times'!$H$5:$H$20,'Worklog_Tasks&amp;Times'!$F$5:$F$20=$B7)),0)</f>
        <v>0</v>
      </c>
      <c r="F7" s="10" cm="1">
        <f t="array" ref="F7">IFERROR(SUM(_xlfn._xlws.FILTER('Worklog_Tasks&amp;Times'!$H$5:$H$20,'Worklog_Tasks&amp;Times'!$F$5:$F$20=$B7)),0)</f>
        <v>0</v>
      </c>
      <c r="G7" s="10" cm="1">
        <f t="array" ref="G7">IFERROR(SUM(_xlfn._xlws.FILTER('Worklog_Tasks&amp;Times'!$H$5:$H$20,'Worklog_Tasks&amp;Times'!$F$5:$F$20=$B7)),0)</f>
        <v>0</v>
      </c>
      <c r="H7" s="10" cm="1">
        <f t="array" ref="H7">IFERROR(SUM(_xlfn._xlws.FILTER('Worklog_Tasks&amp;Times'!$H$5:$H$20,'Worklog_Tasks&amp;Times'!$F$5:$F$20=$B7)),0)</f>
        <v>0</v>
      </c>
      <c r="I7" s="10" cm="1">
        <f t="array" ref="I7">IFERROR(SUM(_xlfn._xlws.FILTER('Worklog_Tasks&amp;Times'!$H$5:$H$20,'Worklog_Tasks&amp;Times'!$F$5:$F$20=$B7)),0)</f>
        <v>0</v>
      </c>
      <c r="J7" s="10" cm="1">
        <f t="array" ref="J7">IFERROR(SUM(_xlfn._xlws.FILTER('Worklog_Tasks&amp;Times'!$H$5:$H$20,'Worklog_Tasks&amp;Times'!$F$5:$F$20=$B7)),0)</f>
        <v>0</v>
      </c>
      <c r="K7" s="7">
        <f t="shared" si="0"/>
        <v>0</v>
      </c>
    </row>
    <row r="8" spans="2:11" ht="13.8" x14ac:dyDescent="0.3">
      <c r="B8" s="4" t="str">
        <f>'Drop-downs'!C7</f>
        <v>ILO 4.4</v>
      </c>
      <c r="C8" s="10" cm="1">
        <f t="array" ref="C8">IFERROR(SUM(_xlfn._xlws.FILTER('Worklog_Tasks&amp;Times'!$H$5:$H$20,'Worklog_Tasks&amp;Times'!$F$5:$F$20=$B8)),0)</f>
        <v>0</v>
      </c>
      <c r="D8" s="10" cm="1">
        <f t="array" ref="D8">IFERROR(SUM(_xlfn._xlws.FILTER('Worklog_Tasks&amp;Times'!$H$5:$H$20,'Worklog_Tasks&amp;Times'!$F$5:$F$20=$B8)),0)</f>
        <v>0</v>
      </c>
      <c r="E8" s="10" cm="1">
        <f t="array" ref="E8">IFERROR(SUM(_xlfn._xlws.FILTER('Worklog_Tasks&amp;Times'!$H$5:$H$20,'Worklog_Tasks&amp;Times'!$F$5:$F$20=$B8)),0)</f>
        <v>0</v>
      </c>
      <c r="F8" s="10" cm="1">
        <f t="array" ref="F8">IFERROR(SUM(_xlfn._xlws.FILTER('Worklog_Tasks&amp;Times'!$H$5:$H$20,'Worklog_Tasks&amp;Times'!$F$5:$F$20=$B8)),0)</f>
        <v>0</v>
      </c>
      <c r="G8" s="10" cm="1">
        <f t="array" ref="G8">IFERROR(SUM(_xlfn._xlws.FILTER('Worklog_Tasks&amp;Times'!$H$5:$H$20,'Worklog_Tasks&amp;Times'!$F$5:$F$20=$B8)),0)</f>
        <v>0</v>
      </c>
      <c r="H8" s="10" cm="1">
        <f t="array" ref="H8">IFERROR(SUM(_xlfn._xlws.FILTER('Worklog_Tasks&amp;Times'!$H$5:$H$20,'Worklog_Tasks&amp;Times'!$F$5:$F$20=$B8)),0)</f>
        <v>0</v>
      </c>
      <c r="I8" s="10" cm="1">
        <f t="array" ref="I8">IFERROR(SUM(_xlfn._xlws.FILTER('Worklog_Tasks&amp;Times'!$H$5:$H$20,'Worklog_Tasks&amp;Times'!$F$5:$F$20=$B8)),0)</f>
        <v>0</v>
      </c>
      <c r="J8" s="10" cm="1">
        <f t="array" ref="J8">IFERROR(SUM(_xlfn._xlws.FILTER('Worklog_Tasks&amp;Times'!$H$5:$H$20,'Worklog_Tasks&amp;Times'!$F$5:$F$20=$B8)),0)</f>
        <v>0</v>
      </c>
      <c r="K8" s="7">
        <f t="shared" ref="K8" si="1">SUM(C8:J8)</f>
        <v>0</v>
      </c>
    </row>
    <row r="9" spans="2:11" ht="13.8" x14ac:dyDescent="0.3">
      <c r="B9" s="4" t="str">
        <f>'Drop-downs'!C8</f>
        <v>ILO 7.3</v>
      </c>
      <c r="C9" s="10" cm="1">
        <f t="array" ref="C9">IFERROR(SUM(_xlfn._xlws.FILTER('Worklog_Tasks&amp;Times'!$H$5:$H$20,'Worklog_Tasks&amp;Times'!$F$5:$F$20=$B9)),0)</f>
        <v>0</v>
      </c>
      <c r="D9" s="10" cm="1">
        <f t="array" ref="D9">IFERROR(SUM(_xlfn._xlws.FILTER('Worklog_Tasks&amp;Times'!$H$5:$H$20,'Worklog_Tasks&amp;Times'!$F$5:$F$20=$B9)),0)</f>
        <v>0</v>
      </c>
      <c r="E9" s="10" cm="1">
        <f t="array" ref="E9">IFERROR(SUM(_xlfn._xlws.FILTER('Worklog_Tasks&amp;Times'!$H$5:$H$20,'Worklog_Tasks&amp;Times'!$F$5:$F$20=$B9)),0)</f>
        <v>0</v>
      </c>
      <c r="F9" s="10" cm="1">
        <f t="array" ref="F9">IFERROR(SUM(_xlfn._xlws.FILTER('Worklog_Tasks&amp;Times'!$H$5:$H$20,'Worklog_Tasks&amp;Times'!$F$5:$F$20=$B9)),0)</f>
        <v>0</v>
      </c>
      <c r="G9" s="10" cm="1">
        <f t="array" ref="G9">IFERROR(SUM(_xlfn._xlws.FILTER('Worklog_Tasks&amp;Times'!$H$5:$H$20,'Worklog_Tasks&amp;Times'!$F$5:$F$20=$B9)),0)</f>
        <v>0</v>
      </c>
      <c r="H9" s="10" cm="1">
        <f t="array" ref="H9">IFERROR(SUM(_xlfn._xlws.FILTER('Worklog_Tasks&amp;Times'!$H$5:$H$20,'Worklog_Tasks&amp;Times'!$F$5:$F$20=$B9)),0)</f>
        <v>0</v>
      </c>
      <c r="I9" s="10" cm="1">
        <f t="array" ref="I9">IFERROR(SUM(_xlfn._xlws.FILTER('Worklog_Tasks&amp;Times'!$H$5:$H$20,'Worklog_Tasks&amp;Times'!$F$5:$F$20=$B9)),0)</f>
        <v>0</v>
      </c>
      <c r="J9" s="10" cm="1">
        <f t="array" ref="J9">IFERROR(SUM(_xlfn._xlws.FILTER('Worklog_Tasks&amp;Times'!$H$5:$H$20,'Worklog_Tasks&amp;Times'!$F$5:$F$20=$B9)),0)</f>
        <v>0</v>
      </c>
      <c r="K9" s="7">
        <f t="shared" si="0"/>
        <v>0</v>
      </c>
    </row>
    <row r="10" spans="2:11" ht="13.8" x14ac:dyDescent="0.3">
      <c r="B10" s="4" t="str">
        <f>'Drop-downs'!C9</f>
        <v>ILO 11.2</v>
      </c>
      <c r="C10" s="10" cm="1">
        <f t="array" ref="C10">IFERROR(SUM(_xlfn._xlws.FILTER('Worklog_Tasks&amp;Times'!$H$5:$H$20,'Worklog_Tasks&amp;Times'!$F$5:$F$20=$B10)),0)</f>
        <v>0</v>
      </c>
      <c r="D10" s="10" cm="1">
        <f t="array" ref="D10">IFERROR(SUM(_xlfn._xlws.FILTER('Worklog_Tasks&amp;Times'!$H$5:$H$20,'Worklog_Tasks&amp;Times'!$F$5:$F$20=$B10)),0)</f>
        <v>0</v>
      </c>
      <c r="E10" s="10" cm="1">
        <f t="array" ref="E10">IFERROR(SUM(_xlfn._xlws.FILTER('Worklog_Tasks&amp;Times'!$H$5:$H$20,'Worklog_Tasks&amp;Times'!$F$5:$F$20=$B10)),0)</f>
        <v>0</v>
      </c>
      <c r="F10" s="10" cm="1">
        <f t="array" ref="F10">IFERROR(SUM(_xlfn._xlws.FILTER('Worklog_Tasks&amp;Times'!$H$5:$H$20,'Worklog_Tasks&amp;Times'!$F$5:$F$20=$B10)),0)</f>
        <v>0</v>
      </c>
      <c r="G10" s="10" cm="1">
        <f t="array" ref="G10">IFERROR(SUM(_xlfn._xlws.FILTER('Worklog_Tasks&amp;Times'!$H$5:$H$20,'Worklog_Tasks&amp;Times'!$F$5:$F$20=$B10)),0)</f>
        <v>0</v>
      </c>
      <c r="H10" s="10" cm="1">
        <f t="array" ref="H10">IFERROR(SUM(_xlfn._xlws.FILTER('Worklog_Tasks&amp;Times'!$H$5:$H$20,'Worklog_Tasks&amp;Times'!$F$5:$F$20=$B10)),0)</f>
        <v>0</v>
      </c>
      <c r="I10" s="10" cm="1">
        <f t="array" ref="I10">IFERROR(SUM(_xlfn._xlws.FILTER('Worklog_Tasks&amp;Times'!$H$5:$H$20,'Worklog_Tasks&amp;Times'!$F$5:$F$20=$B10)),0)</f>
        <v>0</v>
      </c>
      <c r="J10" s="10" cm="1">
        <f t="array" ref="J10">IFERROR(SUM(_xlfn._xlws.FILTER('Worklog_Tasks&amp;Times'!$H$5:$H$20,'Worklog_Tasks&amp;Times'!$F$5:$F$20=$B10)),0)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9" t="s">
        <v>38</v>
      </c>
      <c r="C14" s="80"/>
      <c r="D14" s="80"/>
      <c r="E14" s="80"/>
      <c r="F14" s="80"/>
      <c r="G14" s="80"/>
      <c r="H14" s="80"/>
      <c r="I14" s="80"/>
      <c r="J14" s="80"/>
      <c r="K14" s="80"/>
    </row>
    <row r="18" spans="2:6" ht="15" customHeight="1" x14ac:dyDescent="0.25">
      <c r="B18" s="9"/>
    </row>
    <row r="19" spans="2:6" ht="15" customHeight="1" x14ac:dyDescent="0.25">
      <c r="B19" s="81" t="s">
        <v>39</v>
      </c>
      <c r="C19" s="81"/>
      <c r="D19" s="81"/>
      <c r="E19" s="81"/>
      <c r="F19" s="81"/>
    </row>
    <row r="20" spans="2:6" ht="15" customHeight="1" x14ac:dyDescent="0.25">
      <c r="B20" s="81"/>
      <c r="C20" s="81"/>
      <c r="D20" s="81"/>
      <c r="E20" s="81"/>
      <c r="F20" s="81"/>
    </row>
    <row r="21" spans="2:6" ht="15" customHeight="1" x14ac:dyDescent="0.25">
      <c r="B21" s="81"/>
      <c r="C21" s="81"/>
      <c r="D21" s="81"/>
      <c r="E21" s="81"/>
      <c r="F21" s="81"/>
    </row>
    <row r="22" spans="2:6" ht="15" customHeight="1" x14ac:dyDescent="0.25">
      <c r="B22" s="81"/>
      <c r="C22" s="81"/>
      <c r="D22" s="81"/>
      <c r="E22" s="81"/>
      <c r="F22" s="81"/>
    </row>
    <row r="23" spans="2:6" ht="15" customHeight="1" x14ac:dyDescent="0.25">
      <c r="B23" s="81"/>
      <c r="C23" s="81"/>
      <c r="D23" s="81"/>
      <c r="E23" s="81"/>
      <c r="F23" s="81"/>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0CF63A-30C9-4A8C-8DF9-EA62B8EC1A62}">
  <ds:schemaRefs>
    <ds:schemaRef ds:uri="http://schemas.microsoft.com/office/infopath/2007/PartnerControls"/>
    <ds:schemaRef ds:uri="http://www.w3.org/XML/1998/namespace"/>
    <ds:schemaRef ds:uri="http://purl.org/dc/terms/"/>
    <ds:schemaRef ds:uri="http://schemas.microsoft.com/office/2006/documentManagement/types"/>
    <ds:schemaRef ds:uri="http://schemas.microsoft.com/office/2006/metadata/properties"/>
    <ds:schemaRef ds:uri="5ff92c65-ed86-4457-baee-ccd535c9ea21"/>
    <ds:schemaRef ds:uri="http://schemas.openxmlformats.org/package/2006/metadata/core-properties"/>
    <ds:schemaRef ds:uri="6c8d291c-a5bf-4049-930d-38db8e991d8e"/>
    <ds:schemaRef ds:uri="http://purl.org/dc/dcmitype/"/>
    <ds:schemaRef ds:uri="http://purl.org/dc/elements/1.1/"/>
  </ds:schemaRefs>
</ds:datastoreItem>
</file>

<file path=customXml/itemProps2.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3.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m.jaberi14979@gmail.com</cp:lastModifiedBy>
  <cp:revision/>
  <dcterms:created xsi:type="dcterms:W3CDTF">2020-05-11T09:26:10Z</dcterms:created>
  <dcterms:modified xsi:type="dcterms:W3CDTF">2025-01-23T14:56:56Z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